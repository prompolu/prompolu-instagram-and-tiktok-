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Niche &amp; Strategy" sheetId="2" state="visible" r:id="rId4"/>
    <sheet name="My TikTok Videos" sheetId="3" state="visible" r:id="rId5"/>
    <sheet name="Niche Patterns" sheetId="4" state="visible" r:id="rId6"/>
    <sheet name="Competitors" sheetId="5" state="visible" r:id="rId7"/>
    <sheet name="20 Ideas" sheetId="6" state="visible" r:id="rId8"/>
    <sheet name="Briefs" sheetId="7" state="visible" r:id="rId9"/>
    <sheet name="Shot Lists" sheetId="8" state="visible" r:id="rId10"/>
    <sheet name="Strategy Ideas (25)" sheetId="9" state="visible" r:id="rId11"/>
    <sheet name="Calendar" sheetId="10" state="visible" r:id="rId12"/>
    <sheet name="30-Day Plan" sheetId="11" state="visible" r:id="rId13"/>
    <sheet name="Results Tracker" sheetId="12" state="visible" r:id="rId14"/>
    <sheet name="Rules &amp; Checklists" sheetId="13" state="visible" r:id="rId15"/>
    <sheet name="Study List" sheetId="14" state="visible" r:id="rId16"/>
    <sheet name="Niche Videos" sheetId="15" state="visible" r:id="rId17"/>
    <sheet name="Data Notes" sheetId="16" state="visible" r:id="rId18"/>
  </sheets>
  <definedNames>
    <definedName function="false" hidden="true" localSheetId="5" name="_xlnm._FilterDatabase" vbProcedure="false">'20 Ideas'!$A$1:$M$21</definedName>
    <definedName function="false" hidden="true" localSheetId="6" name="_xlnm._FilterDatabase" vbProcedure="false">Briefs!$A$1:$Q$21</definedName>
    <definedName function="false" hidden="true" localSheetId="14" name="_xlnm._FilterDatabase" vbProcedure="false">'Niche Videos'!$A$1:$AD$480</definedName>
    <definedName function="false" hidden="true" localSheetId="7" name="_xlnm._FilterDatabase" vbProcedure="false">'Shot Lists'!$A$1:$F$99</definedName>
    <definedName function="false" hidden="true" localSheetId="8" name="_xlnm._FilterDatabase" vbProcedure="false">'Strategy Ideas (25)'!$A$1:$E$26</definedName>
    <definedName function="false" hidden="true" localSheetId="13" name="_xlnm._FilterDatabase" vbProcedure="false">'Study List'!$A$1:$F$18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<sst xmlns="http://schemas.openxmlformats.org/spreadsheetml/2006/main" count="3723" uniqueCount="2481">
  <si>
    <t xml:space="preserve">PROMPOLU — Niche analysis &amp; viral content workbook</t>
  </si>
  <si>
    <t xml:space="preserve">Prepared 22 Oct 2026 · Sources: prompolu.com, TikTok @prompolu, 479 niche TikTok videos · Instagram posts could not be read</t>
  </si>
  <si>
    <t xml:space="preserve">Contents (click a name to jump)</t>
  </si>
  <si>
    <t xml:space="preserve">Sheet</t>
  </si>
  <si>
    <t xml:space="preserve">What it holds</t>
  </si>
  <si>
    <t xml:space="preserve">Your niche, audiences, what I could and could not see, the one-paragraph strategy</t>
  </si>
  <si>
    <t xml:space="preserve">Your 10 visible videos with stats, rates and live medians (filmed vs animated)</t>
  </si>
  <si>
    <t xml:space="preserve">What goes viral in the niche, with live statistics calculated from the dataset</t>
  </si>
  <si>
    <t xml:space="preserve">Live account table (calculated from the dataset) plus the full competitor map</t>
  </si>
  <si>
    <t xml:space="preserve">The 20 TikTok/Reels ideas: hook, shots, caption, evidence, shoot session</t>
  </si>
  <si>
    <t xml:space="preserve">Full viral brief for each idea: setup, hooks A/B, sound, caption, pinned comment, sequels, watch-outs</t>
  </si>
  <si>
    <t xml:space="preserve">Every shot-by-shot table, one row per beat, filterable by idea</t>
  </si>
  <si>
    <t xml:space="preserve">The 25 ideas from the first strategy report, by pillar</t>
  </si>
  <si>
    <t xml:space="preserve">Six-week posting calendar with status dropdown, plus shoot sessions</t>
  </si>
  <si>
    <t xml:space="preserve">The 30-day plan from the strategy report, with fix-first and measurement lists</t>
  </si>
  <si>
    <t xml:space="preserve">Fill in your results after 48h; formulas suggest what to do next</t>
  </si>
  <si>
    <t xml:space="preserve">Rules for every video, production standard, posting checklist, review table</t>
  </si>
  <si>
    <t xml:space="preserve">Moroccan and international videos worth studying, with links</t>
  </si>
  <si>
    <t xml:space="preserve">The 479-video dataset with stats and the flags used for the statistics</t>
  </si>
  <si>
    <t xml:space="preserve">Method, definitions, caveats and what is missing</t>
  </si>
  <si>
    <t xml:space="preserve">Colour legend</t>
  </si>
  <si>
    <t xml:space="preserve">Blue text</t>
  </si>
  <si>
    <t xml:space="preserve">A typed-in number you can change (your video stats, tracker inputs, thresholds).</t>
  </si>
  <si>
    <t xml:space="preserve">Black text</t>
  </si>
  <si>
    <t xml:space="preserve">A formula, or plain text. Formulas recalculate when the inputs or dataset change.</t>
  </si>
  <si>
    <t xml:space="preserve">Yellow fill</t>
  </si>
  <si>
    <t xml:space="preserve">A cell for you to fill in (Results Tracker, Calendar status).</t>
  </si>
  <si>
    <t xml:space="preserve">Niche Videos sheet</t>
  </si>
  <si>
    <t xml:space="preserve">Raw public data read on 22 Oct 2026; the numbers are not changeable inputs, so they are left in black.</t>
  </si>
  <si>
    <t xml:space="preserve">Scope of the research</t>
  </si>
  <si>
    <t xml:space="preserve">Prepared 22 Oct 2026 from: prompolu.com (all 15 pages), TikTok @prompolu (all 10 visible videos, with stats), and 479 niche videos from TikTok search pages.</t>
  </si>
  <si>
    <t xml:space="preserve">Companion files</t>
  </si>
  <si>
    <t xml:space="preserve">Companion to tiktok-reels-ideas.md (the 20 ideas) and prompolu-content-strategy.md (the research).</t>
  </si>
  <si>
    <t xml:space="preserve">An honest note first</t>
  </si>
  <si>
    <t xml:space="preserve">Virality</t>
  </si>
  <si>
    <t xml:space="preserve">Nobody can guarantee a video goes viral. TikTok doesn't publish how it ranks videos, and reach is lumpy: in your own account one video in ten passed 10K views, and in the 479-video niche sample the typical video got about 7K while a few got millions. What this playbook does is stack the odds: strong first second, short and clear content, something worth sharing or saving, and a reason to comment. Plan to post often, because the winners are hard to predict.</t>
  </si>
  <si>
    <t xml:space="preserve">How to read the briefs</t>
  </si>
  <si>
    <t xml:space="preserve">Yours = from your own TikTok results. Niche = from the 479-video sample. Untested = a bet. Darija lines are drafts, so adapt them. Spec numbers (kg, mm, finishes) come from prompolu.com; check them against the STRUGAL sheets before you publish.</t>
  </si>
  <si>
    <t xml:space="preserve">Related files in the repository</t>
  </si>
  <si>
    <t xml:space="preserve">prompolu-content-strategy.md</t>
  </si>
  <si>
    <t xml:space="preserve">Full niche analysis, competitor study, 25 ideas, 30-day plan</t>
  </si>
  <si>
    <t xml:space="preserve">tiktok-reels-ideas.md</t>
  </si>
  <si>
    <t xml:space="preserve">20 shoot-ready ideas with hooks and shot lists</t>
  </si>
  <si>
    <t xml:space="preserve">viral-video-playbook.md</t>
  </si>
  <si>
    <t xml:space="preserve">Detailed viral brief for each of the 20 ideas</t>
  </si>
  <si>
    <t xml:space="preserve">data/niche-tiktok-videos.csv</t>
  </si>
  <si>
    <t xml:space="preserve">The 479-video dataset (third-party phone numbers redacted)</t>
  </si>
  <si>
    <t xml:space="preserve">Niche, audiences and strategy</t>
  </si>
  <si>
    <t xml:space="preserve">Text from the strategy report, sections 0, 1 and 5</t>
  </si>
  <si>
    <t xml:space="preserve">What I could and could not see</t>
  </si>
  <si>
    <t xml:space="preserve">Source</t>
  </si>
  <si>
    <t xml:space="preserve">What I got</t>
  </si>
  <si>
    <t xml:space="preserve">Gap</t>
  </si>
  <si>
    <t xml:space="preserve">prompolu.com</t>
  </si>
  <si>
    <t xml:space="preserve">Full read of every page in the sitemap</t>
  </si>
  <si>
    <t xml:space="preserve">—</t>
  </si>
  <si>
    <t xml:space="preserve">TikTok @prompolu</t>
  </si>
  <si>
    <t xml:space="preserve">Profile stats; 10 of 12 videos with exact views, likes, shares, saves, caption, date, cover and frames from the top 3</t>
  </si>
  <si>
    <t xml:space="preserve">2 videos weren't listed publicly</t>
  </si>
  <si>
    <t xml:space="preserve">Instagram @prompolu</t>
  </si>
  <si>
    <t xml:space="preserve">Only the headline numbers: 151 followers, 7 following, 15 posts</t>
  </si>
  <si>
    <t xml:space="preserve">Instagram blocks logged-out visitors, so I could not see a single post, caption or view count. Nothing below about your Instagram content is data-based.</t>
  </si>
  <si>
    <t xml:space="preserve">Competitors</t>
  </si>
  <si>
    <t xml:space="preserve">479 public TikTok videos (188 Moroccan) with exact stats</t>
  </si>
  <si>
    <t xml:space="preserve">No Instagram competitor data at all. The sample is what TikTok surfaces for niche searches, so it leans toward popular videos.</t>
  </si>
  <si>
    <t xml:space="preserve">If you export Instagram Insights (or screenshot your top 5 reels), I can run the same analysis there.</t>
  </si>
  <si>
    <t xml:space="preserve">Your niche</t>
  </si>
  <si>
    <t xml:space="preserve">B2B aluminium profile supply for window, door and kitchen fabricators, with an AR sales tool that gives your customers a way to sell.</t>
  </si>
  <si>
    <t xml:space="preserve">• You are the official STRUGAL distributor for Fès, Sefrou and the surrounding region (stores on Av. El Wafaa in Fès and Route d'El Menzel in Sefrou), 18+ years in business, delivery across Morocco.</t>
  </si>
  <si>
    <t xml:space="preserve">• You sell raw material, not finished windows: 11 sliding systems (S70P to S140RP Infinity), casement systems (S53RP+, S46) plus ALUDOORS doors, interior fit-out profiles (kitchens and dressings with integrated handles), and exterior lines (railings, roller shutters, pergolas, cladding).</t>
  </si>
  <si>
    <t xml:space="preserve">• Your customers are menuisiers. Their customers are homeowners who say "I can't picture it".</t>
  </si>
  <si>
    <t xml:space="preserve">• Your unfair advantage is the 3D/AR tool (pergola, railing, sliding bay, casement). It's white-labelled to each menuisier, needs no app, loads in about a second on 4G, and returns a complete WhatsApp quote request. I found no competitor in my sample showing anything like it.</t>
  </si>
  <si>
    <t xml:space="preserve">• Your voice on the site is plain, practical and workshop-friendly: "Quatre étapes, sans formalité inutile."</t>
  </si>
  <si>
    <t xml:space="preserve">Two audiences, one funnel.</t>
  </si>
  <si>
    <t xml:space="preserve">1. Menuisiers (buyers). They care about stock, colours, specs, hardware tricks, delivery and not wasting time.</t>
  </si>
  <si>
    <t xml:space="preserve">2. Homeowners (demand creators). If they ask their menuisier for STRUGAL, the menuisier comes to you. Most of the views in this niche come from this group.</t>
  </si>
  <si>
    <t xml:space="preserve">Your content should serve the first group and use the second as a pull-through. Views from homeowners who can't buy from you are nice but they don't pay the bills. Measure WhatsApp enquiries, not views.</t>
  </si>
  <si>
    <t xml:space="preserve">Strategy in one paragraph</t>
  </si>
  <si>
    <t xml:space="preserve">Own the "workshop's best friend" lane in Darija and French. Post real stock and real hands, with a person who knows the product, at a steady rhythm. Use the viral "one clever mechanism" format on your own STRUGAL systems. Use the 3D/AR tool as your signature series. Pull homeowners toward asking for STRUGAL by name. Put the hook in the first second as on-screen text, caption in Arabic or short French with 3–5 tags, and keep the phone number on the video.</t>
  </si>
  <si>
    <t xml:space="preserve">Your TikTok videos (@prompolu)</t>
  </si>
  <si>
    <t xml:space="preserve">10 of 12 videos were visible. Stats read from the public video pages on 22 Oct 2026. Blue = typed-in data; black = formula.</t>
  </si>
  <si>
    <t xml:space="preserve">Video ID</t>
  </si>
  <si>
    <t xml:space="preserve">Posted</t>
  </si>
  <si>
    <t xml:space="preserve">Type</t>
  </si>
  <si>
    <t xml:space="preserve">What it is</t>
  </si>
  <si>
    <t xml:space="preserve">Views</t>
  </si>
  <si>
    <t xml:space="preserve">Likes</t>
  </si>
  <si>
    <t xml:space="preserve">Comments</t>
  </si>
  <si>
    <t xml:space="preserve">Shares</t>
  </si>
  <si>
    <t xml:space="preserve">Saves</t>
  </si>
  <si>
    <t xml:space="preserve">Length (s)</t>
  </si>
  <si>
    <t xml:space="preserve">Like rate</t>
  </si>
  <si>
    <t xml:space="preserve">Share rate</t>
  </si>
  <si>
    <t xml:space="preserve">Save rate</t>
  </si>
  <si>
    <t xml:space="preserve">Caption as posted</t>
  </si>
  <si>
    <t xml:space="preserve">Music</t>
  </si>
  <si>
    <t xml:space="preserve">Notes from the report</t>
  </si>
  <si>
    <t xml:space="preserve">7636091127908650247</t>
  </si>
  <si>
    <t xml:space="preserve">Filmed</t>
  </si>
  <si>
    <t xml:space="preserve">Folding mosquito net in 3 colours (showroom)</t>
  </si>
  <si>
    <t xml:space="preserve">moustiquaire plissé disponible en gris givré , blanc et quartz . #fesal #fes #maroc #moustiquaire #fenetre</t>
  </si>
  <si>
    <t xml:space="preserve">Original sound</t>
  </si>
  <si>
    <t xml:space="preserve">25 shares on 2.7K views, a high share count for its reach.</t>
  </si>
  <si>
    <t xml:space="preserve">7657562891347954952</t>
  </si>
  <si>
    <t xml:space="preserve">Kitchen accessories in the showroom</t>
  </si>
  <si>
    <t xml:space="preserve">Accessoires de cuisine #accessoires #aluminum #fes #construction</t>
  </si>
  <si>
    <t xml:space="preserve">7671325847072034056</t>
  </si>
  <si>
    <t xml:space="preserve">POV walk through the stock aisles, colour list on screen</t>
  </si>
  <si>
    <t xml:space="preserve">#fesal #aluminium #fyp #fenêtre #maroc</t>
  </si>
  <si>
    <t xml:space="preserve">79 likes, 14 shares.</t>
  </si>
  <si>
    <t xml:space="preserve">7672143043700477202</t>
  </si>
  <si>
    <t xml:space="preserve">Truck piled with profile bars in a Fès street</t>
  </si>
  <si>
    <t xml:space="preserve">#fyp #fesal #aluminium #maroc #fes</t>
  </si>
  <si>
    <t xml:space="preserve">127 likes, 20 shares. No talking, phone number on screen. Your best video.</t>
  </si>
  <si>
    <t xml:space="preserve">7681711882801122578</t>
  </si>
  <si>
    <t xml:space="preserve">Presenter at the counter: dust fix for the flat lock (verrou plat)</t>
  </si>
  <si>
    <t xml:space="preserve">Solution contre poussière pour le verou plat .#fes #alumminium #fenetre #maroc #morocco</t>
  </si>
  <si>
    <t xml:space="preserve">Most saves (23), shares (26) and comments (11) of any of your videos. 131 likes.</t>
  </si>
  <si>
    <t xml:space="preserve">7689881301532364040</t>
  </si>
  <si>
    <t xml:space="preserve">Animated</t>
  </si>
  <si>
    <t xml:space="preserve">Profile render, 'Précision architecturale'</t>
  </si>
  <si>
    <t xml:space="preserve">Decouvrir les autres gammes dans notre siteweb en bio #strugal #aluminium #fes #viral</t>
  </si>
  <si>
    <t xml:space="preserve">Licensed: the world we knew (luxury)</t>
  </si>
  <si>
    <t xml:space="preserve">Licensed music.</t>
  </si>
  <si>
    <t xml:space="preserve">7689923806797876498</t>
  </si>
  <si>
    <t xml:space="preserve">'Hello!' brand animation</t>
  </si>
  <si>
    <t xml:space="preserve">Retrouvez-nous sur notre site web  #aluminium #fes #immobilier #strugal #prompolu</t>
  </si>
  <si>
    <t xml:space="preserve">7690695193615617287</t>
  </si>
  <si>
    <t xml:space="preserve">P-logo animation</t>
  </si>
  <si>
    <t xml:space="preserve">Retrouvez nous sur notre siteweb prompolu.com  #strugal #aluminium #fes #maroc #ai</t>
  </si>
  <si>
    <t xml:space="preserve">Caption mentions #ai.</t>
  </si>
  <si>
    <t xml:space="preserve">7698422583078751506</t>
  </si>
  <si>
    <t xml:space="preserve">Brand motion piece</t>
  </si>
  <si>
    <t xml:space="preserve">Les gammes STRUGAL sont disponibles, Laissez nous vous aidez à trouver le profil qui répond à vos besoins. retrouvez nous sur prompolu.com . #strugal #architecture #viral #aluminium #maroc</t>
  </si>
  <si>
    <t xml:space="preserve">Licensed: Velvet Poolside</t>
  </si>
  <si>
    <t xml:space="preserve">Licensed music. Only 3 days old.</t>
  </si>
  <si>
    <t xml:space="preserve">7699069673593228562</t>
  </si>
  <si>
    <t xml:space="preserve">Brand motion piece, LANDSCAPE 1024×576 (only 1–3 days old)</t>
  </si>
  <si>
    <t xml:space="preserve">Nouveau style, nouvelle perspective. Retrouvez nous sur notre siteweb www.prompolu.com #strugal #architecture #aluminium #maison #fes .</t>
  </si>
  <si>
    <t xml:space="preserve">Landscape 16:9. Only 1 day old.</t>
  </si>
  <si>
    <t xml:space="preserve">Summary (formulas)</t>
  </si>
  <si>
    <t xml:space="preserve">Total views</t>
  </si>
  <si>
    <t xml:space="preserve">Median views, all 10</t>
  </si>
  <si>
    <t xml:space="preserve">Average views, all 10</t>
  </si>
  <si>
    <t xml:space="preserve">Median views, 5 filmed (rows 5–9)</t>
  </si>
  <si>
    <t xml:space="preserve">Median views, 5 animated (rows 10–14)</t>
  </si>
  <si>
    <t xml:space="preserve">Filmed ÷ animated (×)</t>
  </si>
  <si>
    <t xml:space="preserve">Videos above 10,000 views</t>
  </si>
  <si>
    <t xml:space="preserve">Profile snapshot (typed-in)</t>
  </si>
  <si>
    <t xml:space="preserve">Platform</t>
  </si>
  <si>
    <t xml:space="preserve">Followers</t>
  </si>
  <si>
    <t xml:space="preserve">Following</t>
  </si>
  <si>
    <t xml:space="preserve">Likes / posts</t>
  </si>
  <si>
    <t xml:space="preserve">739 likes · 12 videos</t>
  </si>
  <si>
    <t xml:space="preserve">15 posts (posts not readable)</t>
  </si>
  <si>
    <t xml:space="preserve">What stands out</t>
  </si>
  <si>
    <t xml:space="preserve">1. Real footage beats brand graphics by about 14×. The five filmed videos have a median of 4,546 views. The five animated or brand-graphic videos have a median of 312. The last two are only 1–3 days old, but the three from 26–28 Sep have had 3+ weeks and are flat. Your audience came for the stock, the trucks and the person at the counter.</t>
  </si>
  <si>
    <t xml:space="preserve">2. Your tip video is the quality signal. It has a third of the truck's views but more saves, shares and comments in absolute numbers. People save and send it. (Rates per view are misleading on your small videos, because their few viewers are mostly followers.) It's the format to build a series on.</t>
  </si>
  <si>
    <t xml:space="preserve">3. Your two biggest videos have hashtag-only captions (#fyp #fesal #aluminium #maroc #fes and similar). The next three add a one-line description. The weak ones say "Retrouvez-nous sur notre site" with #strugal. (#strugal is on all 5 of your weakest videos and none of your top 5. The animated videos also share that tag, so treat it as a hint, not proof.)</t>
  </si>
  <si>
    <t xml:space="preserve">4. The Oct 21 video is landscape (1024×576). On a phone it plays as a thin letterboxed strip. Re-export everything as 9:16.</t>
  </si>
  <si>
    <t xml:space="preserve">5. Posting is sporadic: 10 videos in 5.5 months, with an 8-week gap in May–July. TikTok can't learn who to show you to at this pace.</t>
  </si>
  <si>
    <t xml:space="preserve">6. Brand mismatch. Your top videos carry a "Fesal.aluminium" watermark, the site's footer links to instagram.com/fesal.aluminium and tiktok.com/@fesal.aluminium, but your accounts are @prompolu. TikTok returned an error for @fesal.aluminium and Instagram showed only a login wall for it, so I couldn't confirm either account exists. Check these links; if they're dead or someone else's, you're sending visitors to the wrong place.</t>
  </si>
  <si>
    <t xml:space="preserve">What goes viral in the niche</t>
  </si>
  <si>
    <t xml:space="preserve">Statistics below are live formulas over the 'Niche Videos' sheet. Medians use array formulas.</t>
  </si>
  <si>
    <t xml:space="preserve">Sample size</t>
  </si>
  <si>
    <t xml:space="preserve">Videos in the sample</t>
  </si>
  <si>
    <t xml:space="preserve">Moroccan-tagged videos</t>
  </si>
  <si>
    <t xml:space="preserve">Median views, all videos</t>
  </si>
  <si>
    <t xml:space="preserve">Median views, Moroccan videos</t>
  </si>
  <si>
    <t xml:space="preserve">Median share rate (shares ÷ views), all</t>
  </si>
  <si>
    <t xml:space="preserve">Median save rate (saves ÷ views), all</t>
  </si>
  <si>
    <t xml:space="preserve">Caption effects (Moroccan videos only)</t>
  </si>
  <si>
    <t xml:space="preserve">Caption feature</t>
  </si>
  <si>
    <t xml:space="preserve">n with</t>
  </si>
  <si>
    <t xml:space="preserve">Median views, with</t>
  </si>
  <si>
    <t xml:space="preserve">n without</t>
  </si>
  <si>
    <t xml:space="preserve">Median views, without</t>
  </si>
  <si>
    <t xml:space="preserve">With ÷ without (×)</t>
  </si>
  <si>
    <t xml:space="preserve">Reading</t>
  </si>
  <si>
    <t xml:space="preserve">Arabic caption</t>
  </si>
  <si>
    <t xml:space="preserve">About 4× the reach with Arabic (correlation, not proof)</t>
  </si>
  <si>
    <t xml:space="preserve">Hashtag-only caption (no text)</t>
  </si>
  <si>
    <t xml:space="preserve">Short captions did better</t>
  </si>
  <si>
    <t xml:space="preserve">Phone number in the caption</t>
  </si>
  <si>
    <t xml:space="preserve">Numbers in the caption did worse; put it on the video instead</t>
  </si>
  <si>
    <t xml:space="preserve">Topic effects (all videos whose caption mentions the topic; categories overlap)</t>
  </si>
  <si>
    <t xml:space="preserve">Topic</t>
  </si>
  <si>
    <t xml:space="preserve">n videos</t>
  </si>
  <si>
    <t xml:space="preserve">Median views</t>
  </si>
  <si>
    <t xml:space="preserve">Median share rate</t>
  </si>
  <si>
    <t xml:space="preserve">Median save rate</t>
  </si>
  <si>
    <t xml:space="preserve">Kitchen / cuisine</t>
  </si>
  <si>
    <t xml:space="preserve">Biggest category in Moroccan aluminium TikTok</t>
  </si>
  <si>
    <t xml:space="preserve">Mosquito net</t>
  </si>
  <si>
    <t xml:space="preserve">Small sample; high share rate</t>
  </si>
  <si>
    <t xml:space="preserve">Sliding / coulissant</t>
  </si>
  <si>
    <t xml:space="preserve">Pergola / terrace</t>
  </si>
  <si>
    <t xml:space="preserve">Railing / garde-corps</t>
  </si>
  <si>
    <t xml:space="preserve">Window / fenêtre</t>
  </si>
  <si>
    <t xml:space="preserve">Windows alone are weak reach</t>
  </si>
  <si>
    <t xml:space="preserve">Door / porte</t>
  </si>
  <si>
    <t xml:space="preserve">Dressing / wardrobe</t>
  </si>
  <si>
    <t xml:space="preserve">Shower</t>
  </si>
  <si>
    <t xml:space="preserve">Accessories / hardware</t>
  </si>
  <si>
    <t xml:space="preserve">Facade / vitrine</t>
  </si>
  <si>
    <t xml:space="preserve">Before / after</t>
  </si>
  <si>
    <t xml:space="preserve">Price / prix / devis</t>
  </si>
  <si>
    <t xml:space="preserve">High save rate: price content gets kept</t>
  </si>
  <si>
    <t xml:space="preserve">Length buckets (bounds in blue are editable)</t>
  </si>
  <si>
    <t xml:space="preserve">Bucket (seconds)</t>
  </si>
  <si>
    <t xml:space="preserve">From (≥)</t>
  </si>
  <si>
    <t xml:space="preserve">To (&lt;)</t>
  </si>
  <si>
    <t xml:space="preserve">n, all</t>
  </si>
  <si>
    <t xml:space="preserve">Median views, all</t>
  </si>
  <si>
    <t xml:space="preserve">n, Moroccan</t>
  </si>
  <si>
    <t xml:space="preserve">Median views, Moroccan</t>
  </si>
  <si>
    <t xml:space="preserve">0–10</t>
  </si>
  <si>
    <t xml:space="preserve">10–20</t>
  </si>
  <si>
    <t xml:space="preserve">20–35</t>
  </si>
  <si>
    <t xml:space="preserve">35–60</t>
  </si>
  <si>
    <t xml:space="preserve">60 and over</t>
  </si>
  <si>
    <t xml:space="preserve">Length is a weak signal: under 10 s and over 60 s did better than 20–35 s, but the Moroccan under-10 s group has only a few videos. Hook strength matters more than length.</t>
  </si>
  <si>
    <t xml:space="preserve">The big winners (typed from the report)</t>
  </si>
  <si>
    <t xml:space="preserve">Who</t>
  </si>
  <si>
    <t xml:space="preserve">What</t>
  </si>
  <si>
    <t xml:space="preserve">@chinawindowsdoors (206K followers)</t>
  </si>
  <si>
    <t xml:space="preserve">9.0M</t>
  </si>
  <si>
    <t xml:space="preserve">18s: "Easy to install, waterproof, and able to block space" (a folding/sliding door demo)</t>
  </si>
  <si>
    <t xml:space="preserve">@proalumad (602K, Moroccan kitchens)</t>
  </si>
  <si>
    <t xml:space="preserve">8.3M</t>
  </si>
  <si>
    <t xml:space="preserve">7 seconds, silent kitchen reveal, Arabic hashtags only</t>
  </si>
  <si>
    <t xml:space="preserve">@proalumad</t>
  </si>
  <si>
    <t xml:space="preserve">5.9M</t>
  </si>
  <si>
    <t xml:space="preserve">11s, same format</t>
  </si>
  <si>
    <t xml:space="preserve">@windowhome1 (209K)</t>
  </si>
  <si>
    <t xml:space="preserve">3.0M ×2</t>
  </si>
  <si>
    <t xml:space="preserve">14s: sliding door with no floor track</t>
  </si>
  <si>
    <t xml:space="preserve">@siddiquealuminumandglass (12K followers)</t>
  </si>
  <si>
    <t xml:space="preserve">1.8M</t>
  </si>
  <si>
    <t xml:space="preserve">16s: telescopic sliding door</t>
  </si>
  <si>
    <t xml:space="preserve">@alu.mamoune (18K followers, Moroccan)</t>
  </si>
  <si>
    <t xml:space="preserve">1.7M</t>
  </si>
  <si>
    <t xml:space="preserve">51s kitchen</t>
  </si>
  <si>
    <t xml:space="preserve">@aluminooo (75K, Moroccan)</t>
  </si>
  <si>
    <t xml:space="preserve">839K</t>
  </si>
  <si>
    <t xml:space="preserve">23s shower cabin system, WhatsApp number in caption</t>
  </si>
  <si>
    <t xml:space="preserve">Seven patterns (from the report)</t>
  </si>
  <si>
    <t xml:space="preserve">1. Small accounts go big. Accounts with 12K to 18K followers hit 1.7M to 1.8M, and some under 500 followers hit 150K. Follower count isn't the barrier.</t>
  </si>
  <si>
    <t xml:space="preserve">2. A clever mechanism in under 20 seconds. "No drilling", "no track", "disappears into the wall", "telescopic". Each shows one surprising mechanism and nothing else.</t>
  </si>
  <si>
    <t xml:space="preserve">3. Kitchens dominate Moroccan aluminium TikTok. Captions mentioning kitchens have a median of ~30K views (n=80). Doors ~14K, sliding systems ~10K, windows ~2K, pergolas ~2.5K, railings ~2.5K. (Categories overlap and the sample is search-biased.)</t>
  </si>
  <si>
    <t xml:space="preserve">4. Arabic captions get about 4× the reach in Morocco: median 18.2K (n=85) vs 4.5K (n=103) for non-Arabic. Your 10 videos are all French or hashtag-only.</t>
  </si>
  <si>
    <t xml:space="preserve">5. Less caption is better: hashtag-only captions have a median of 16.8K vs 6.8K. Captions that put a phone number in the text do worse (4.8K vs 13.9K). (Your own winners put the number on the video, not in the caption.)</t>
  </si>
  <si>
    <t xml:space="preserve">6. Price and cost content gets saved. Captions mentioning price/prix/devis: median 12K and one of the highest save rates (0.38% of views, n=30, all niche videos).</t>
  </si>
  <si>
    <t xml:space="preserve">7. City tags in the top quartile: #casablanca, #rabat, #bouznika, #mohammedia, plus Arabic category tags like #مطابخ_حديثة_المنيوم.</t>
  </si>
  <si>
    <t xml:space="preserve">Length is a weak signal: under 10s and over 60s both did better than the 20–35s middle, but the sample is small. Hook strength matters more than length.</t>
  </si>
  <si>
    <t xml:space="preserve">Hashtags in the top quartile of Moroccan videos (static count from my analysis)</t>
  </si>
  <si>
    <t xml:space="preserve">Hashtag</t>
  </si>
  <si>
    <t xml:space="preserve">Videos in top quartile</t>
  </si>
  <si>
    <t xml:space="preserve">#aluminium</t>
  </si>
  <si>
    <t xml:space="preserve">#cuisine</t>
  </si>
  <si>
    <t xml:space="preserve">#cuisinealuminium</t>
  </si>
  <si>
    <t xml:space="preserve">#casablanca</t>
  </si>
  <si>
    <t xml:space="preserve">#maroc</t>
  </si>
  <si>
    <t xml:space="preserve">#مطابخ_حديثة_المنيوم</t>
  </si>
  <si>
    <t xml:space="preserve">#مطابخ_حديثة</t>
  </si>
  <si>
    <t xml:space="preserve">#aluminum</t>
  </si>
  <si>
    <t xml:space="preserve">#proalumad</t>
  </si>
  <si>
    <t xml:space="preserve">#proalum</t>
  </si>
  <si>
    <t xml:space="preserve">#rabat</t>
  </si>
  <si>
    <t xml:space="preserve">#الدار_البيضاء</t>
  </si>
  <si>
    <t xml:space="preserve">#مطابخ_عصرية</t>
  </si>
  <si>
    <t xml:space="preserve">#مطبخ</t>
  </si>
  <si>
    <t xml:space="preserve">#مطابخ</t>
  </si>
  <si>
    <t xml:space="preserve">#morocco🇲🇦</t>
  </si>
  <si>
    <t xml:space="preserve">#cuisinetiktok</t>
  </si>
  <si>
    <t xml:space="preserve">#cuisinemoderne</t>
  </si>
  <si>
    <t xml:space="preserve">#redcity</t>
  </si>
  <si>
    <t xml:space="preserve">#placards</t>
  </si>
  <si>
    <t xml:space="preserve">#bouznika</t>
  </si>
  <si>
    <t xml:space="preserve">#mohammedia</t>
  </si>
  <si>
    <t xml:space="preserve">Counted on the top quarter (47 videos) of the 188 Moroccan-tagged videos. #strugal does not appear among the top hashtags.</t>
  </si>
  <si>
    <t xml:space="preserve">Competitor map</t>
  </si>
  <si>
    <t xml:space="preserve">Top table: live formulas over the 'Niche Videos' sheet (videos seen in the sample only). Below: the full competitor text from the report.</t>
  </si>
  <si>
    <t xml:space="preserve">Account</t>
  </si>
  <si>
    <t xml:space="preserve">Segment</t>
  </si>
  <si>
    <t xml:space="preserve">Videos seen</t>
  </si>
  <si>
    <t xml:space="preserve">Best video (views)</t>
  </si>
  <si>
    <t xml:space="preserve">Note</t>
  </si>
  <si>
    <t xml:space="preserve">Tier 1: kitchen fabricator</t>
  </si>
  <si>
    <t xml:space="preserve">Short silent reveals, Arabic hashtags, no spoken caption. A template for the format.</t>
  </si>
  <si>
    <t xml:space="preserve">@alu.mamoune</t>
  </si>
  <si>
    <t xml:space="preserve">Tier 1: kitchens</t>
  </si>
  <si>
    <t xml:space="preserve">51-second kitchen reached 1.7M with 18K followers.</t>
  </si>
  <si>
    <t xml:space="preserve">@alocuisines</t>
  </si>
  <si>
    <t xml:space="preserve">@aluminium_oujaiou</t>
  </si>
  <si>
    <t xml:space="preserve">Tier 1: kitchens and interior doors</t>
  </si>
  <si>
    <t xml:space="preserve">@zaki.aluminiumpro</t>
  </si>
  <si>
    <t xml:space="preserve">Tier 1: Casablanca menuiserie</t>
  </si>
  <si>
    <t xml:space="preserve">@aluminooo</t>
  </si>
  <si>
    <t xml:space="preserve">Tier 1: shower cabins</t>
  </si>
  <si>
    <t xml:space="preserve">WhatsApp number in the caption; best video 839K.</t>
  </si>
  <si>
    <t xml:space="preserve">@rm_accessoires1</t>
  </si>
  <si>
    <t xml:space="preserve">Tier 2: wholesale hardware</t>
  </si>
  <si>
    <t xml:space="preserve">Charnière 3D wholesale clip: 8.3K views for a tiny account.</t>
  </si>
  <si>
    <t xml:space="preserve">@skymaxmaroc.ma</t>
  </si>
  <si>
    <t xml:space="preserve">Tier 2: cladding supplier</t>
  </si>
  <si>
    <t xml:space="preserve">Near-identical captions on 7 videos; repetition without variety does not scale.</t>
  </si>
  <si>
    <t xml:space="preserve">@markglassoffciel</t>
  </si>
  <si>
    <t xml:space="preserve">Tier 2: glass and aluminium</t>
  </si>
  <si>
    <t xml:space="preserve">Same sales caption on its top videos.</t>
  </si>
  <si>
    <t xml:space="preserve">@pukapergola</t>
  </si>
  <si>
    <t xml:space="preserve">Tier 2: pergolas</t>
  </si>
  <si>
    <t xml:space="preserve">80-second videos pitching European-standard profiles, the same angle as your STRUGAL pitch.</t>
  </si>
  <si>
    <t xml:space="preserve">@rofof.fes</t>
  </si>
  <si>
    <t xml:space="preserve">Tier 3: local (Fès)</t>
  </si>
  <si>
    <t xml:space="preserve">328 followers; a 10 s Arabic+French kitchen clip reached 17.3K.</t>
  </si>
  <si>
    <t xml:space="preserve">@rais48alum</t>
  </si>
  <si>
    <t xml:space="preserve">Tier 3: local (Oujda)</t>
  </si>
  <si>
    <t xml:space="preserve">@aluminiumziyou</t>
  </si>
  <si>
    <t xml:space="preserve">139 followers.</t>
  </si>
  <si>
    <t xml:space="preserve">@chinawindowsdoors</t>
  </si>
  <si>
    <t xml:space="preserve">International</t>
  </si>
  <si>
    <t xml:space="preserve">One mechanism, shot clean, under 20 s, English text overlay.</t>
  </si>
  <si>
    <t xml:space="preserve">@windowhome1</t>
  </si>
  <si>
    <t xml:space="preserve">Sliding door with no floor track (3.0M twice).</t>
  </si>
  <si>
    <t xml:space="preserve">@omy.window.and.door0</t>
  </si>
  <si>
    <t xml:space="preserve">@siddiquealuminumandglass</t>
  </si>
  <si>
    <t xml:space="preserve">Telescopic sliding door, 1.8M with 12K followers.</t>
  </si>
  <si>
    <t xml:space="preserve">Full competitor map (from the report)</t>
  </si>
  <si>
    <t xml:space="preserve">Tier 1: kitchen fabricators with huge reach (not your peers, but their format is a template)</t>
  </si>
  <si>
    <t xml:space="preserve">• @proalumad: 602K followers, median 1.3M views on the 7 videos I saw. Short silent reveals, Arabic hashtags, no spoken caption.</t>
  </si>
  <si>
    <t xml:space="preserve">• @alu.mamoune (18K), @alocuisines (47K), @aluminium_oujaiou (24K), @zaki.aluminiumpro (13K, median 18K, best 162K).</t>
  </si>
  <si>
    <t xml:space="preserve">• @aluminooo (75K): shower cabins with a WhatsApp number.</t>
  </si>
  <si>
    <t xml:space="preserve">Tier 2: suppliers, the closest to what you do</t>
  </si>
  <si>
    <t xml:space="preserve">What they post</t>
  </si>
  <si>
    <t xml:space="preserve">Read</t>
  </si>
  <si>
    <t xml:space="preserve">2.3K</t>
  </si>
  <si>
    <t xml:space="preserve">Wholesale hardware ("Charnière 3D… للبيع بالجملة"), 16s clip</t>
  </si>
  <si>
    <t xml:space="preserve">8.3K views for a tiny account. Wholesale hardware demos do get seen.</t>
  </si>
  <si>
    <t xml:space="preserve">3.2K</t>
  </si>
  <si>
    <t xml:space="preserve">WPC cladding supplier, near-identical captions on 7 videos</t>
  </si>
  <si>
    <t xml:space="preserve">Median 1.8K; the best one hit 23.7K. Repetition without variety doesn't scale.</t>
  </si>
  <si>
    <t xml:space="preserve">12.8K</t>
  </si>
  <si>
    <t xml:space="preserve">Glass and aluminium; the same sales caption on its top videos</t>
  </si>
  <si>
    <t xml:space="preserve">Median 2.1K; a few reach ~50K</t>
  </si>
  <si>
    <t xml:space="preserve">18.6K</t>
  </si>
  <si>
    <t xml:space="preserve">Bioclimatic pergolas, 80s videos pitching "profils certifiés normes européennes"</t>
  </si>
  <si>
    <t xml:space="preserve">~10.7K each. Same "European standards" angle as your STRUGAL pitch.</t>
  </si>
  <si>
    <t xml:space="preserve">Tier 3: your actual local competitors (Fès / Meknès / Oujda)</t>
  </si>
  <si>
    <t xml:space="preserve">Almost empty. Only 14 of 479 videos mention Fès, Meknès, Taza, Oujda, Nador or nearby, and a few of those aren't aluminium at all. The notable ones: @rofof.fes (328 followers, a 10s Arabic+French kitchen clip at 17.3K), @rais48alum (Oujda, 2.8K followers, 2.7K–5.2K per video), @aluminiumziyou (139 followers). Nobody is the "profile supplier of the Fès region" on TikTok.</t>
  </si>
  <si>
    <t xml:space="preserve">International (borrow the visuals, not the language)</t>
  </si>
  <si>
    <t xml:space="preserve">• @chinawindowsdoors, @windowhome1, @omy.window.and.door0, @siddiquealuminumandglass all follow one formula: one mechanism, shot clean, under 20s, English text overlay. They hold the views record in the niche.</t>
  </si>
  <si>
    <t xml:space="preserve">The gaps nobody fills (in my sample)</t>
  </si>
  <si>
    <t xml:space="preserve">1. Nobody pairs "official distributor" authority with real stock footage, a trust angle you already own.</t>
  </si>
  <si>
    <t xml:space="preserve">2. Nobody shows technical know-how as entertainment (your dust-fix video proves the appetite).</t>
  </si>
  <si>
    <t xml:space="preserve">3. Nobody has the AR/3D tool, or at least nobody is showing one.</t>
  </si>
  <si>
    <t xml:space="preserve">4. Fès/Sefrou is open.</t>
  </si>
  <si>
    <t xml:space="preserve">5. Nobody teaches the end customer to ask for a system by name ("ask your menuisier for S90RP").</t>
  </si>
  <si>
    <t xml:space="preserve">#</t>
  </si>
  <si>
    <t xml:space="preserve">Pillar</t>
  </si>
  <si>
    <t xml:space="preserve">Idea</t>
  </si>
  <si>
    <t xml:space="preserve">Title in the first ideas list</t>
  </si>
  <si>
    <t xml:space="preserve">Hook (FR / Darija)</t>
  </si>
  <si>
    <t xml:space="preserve">Shots (summary)</t>
  </si>
  <si>
    <t xml:space="preserve">Length</t>
  </si>
  <si>
    <t xml:space="preserve">Triggers</t>
  </si>
  <si>
    <t xml:space="preserve">Evidence basis</t>
  </si>
  <si>
    <t xml:space="preserve">Why</t>
  </si>
  <si>
    <t xml:space="preserve">Caption &amp; tags</t>
  </si>
  <si>
    <t xml:space="preserve">CTA / safety</t>
  </si>
  <si>
    <t xml:space="preserve">Shoot session</t>
  </si>
  <si>
    <t xml:space="preserve">Stock, trucks, colours</t>
  </si>
  <si>
    <t xml:space="preserve">"Ce camion part pour [ville]"</t>
  </si>
  <si>
    <t xml:space="preserve">Ce camion part pour Meknès ce matin / هاد الكاميو غادي لمكناس دابا</t>
  </si>
  <si>
    <t xml:space="preserve">(1) truck loaded with bars at the store, (2) it pulls away, (3) city name appears on screen. No talking. 10–16s.</t>
  </si>
  <si>
    <t xml:space="preserve">12–15s</t>
  </si>
  <si>
    <t xml:space="preserve">Rewatch · Local · Real</t>
  </si>
  <si>
    <t xml:space="preserve">Yours (your best video, 14.7K views, 127 likes, 20 shares)</t>
  </si>
  <si>
    <t xml:space="preserve">Yours: the truck video is your best at 14.7K views. Make it a weekly series and change the city each time, so you reach local audiences and show "livraison partout au Maroc" without saying it.</t>
  </si>
  <si>
    <t xml:space="preserve">Livraison du jour 🚚
#aluminium #maroc #fes #meknes #نجارة_الألمنيوم</t>
  </si>
  <si>
    <t xml:space="preserve">Stock &amp; trucks</t>
  </si>
  <si>
    <t xml:space="preserve">"Même profil, 6 teintes"</t>
  </si>
  <si>
    <t xml:space="preserve">Même profil. 6 teintes. Laquelle choisit ton client ? / نفس البروفيل، 6 ألوان. أي لون غادي يختار الزبون؟</t>
  </si>
  <si>
    <t xml:space="preserve">(1) walk down the aisle, (2) each colour labelled as it passes: noir, gris naturel, fauxbois, blanc 9010, gris platine, gris givré, (3) end on the same section in three colours side by side. 15–22s.</t>
  </si>
  <si>
    <t xml:space="preserve">18–21s</t>
  </si>
  <si>
    <t xml:space="preserve">Comment · Rewatch · Real</t>
  </si>
  <si>
    <t xml:space="preserve">Yours (stock walk, 8K views)</t>
  </si>
  <si>
    <t xml:space="preserve">Yours: the stock walk got 8K. The side-by-side ending turns a passive tour into a choice people comment on.</t>
  </si>
  <si>
    <t xml:space="preserve">Quelle teinte pour ta menuiserie ? 👇
#aluminium #fes #maroc #menuiserie #strugal</t>
  </si>
  <si>
    <t xml:space="preserve">"Arrivage"</t>
  </si>
  <si>
    <t xml:space="preserve">Nouvel arrivage S88RP / وصلات السلعة الجديدة</t>
  </si>
  <si>
    <t xml:space="preserve">a delivery being unloaded or a fresh bundle opened. Natural sound only. 8–12s.</t>
  </si>
  <si>
    <t xml:space="preserve">8–12s</t>
  </si>
  <si>
    <t xml:space="preserve">Rewatch · Real</t>
  </si>
  <si>
    <t xml:space="preserve">Yours/Niche (raw stock is what your audience watches; very short silent clips are @proalumad's format)</t>
  </si>
  <si>
    <t xml:space="preserve">Yours/Niche: raw stock footage is what your audience already watches. Very short silent clips are what the biggest Moroccan account (@proalumad) uses.</t>
  </si>
  <si>
    <t xml:space="preserve">Arrivage ✅
#aluminium #strugal #fes #maroc #نجارة_الألمنيوم</t>
  </si>
  <si>
    <t xml:space="preserve">Folding mosquito net in three colours</t>
  </si>
  <si>
    <t xml:space="preserve">Moustiquaire plissée : gris givré, blanc, quartz / الناموسية المطوية فـ 3 ألوان</t>
  </si>
  <si>
    <t xml:space="preserve">hands pull the net across a window, one colour after another. 10–15s.</t>
  </si>
  <si>
    <t xml:space="preserve">Share · Real</t>
  </si>
  <si>
    <t xml:space="preserve">Yours (25 shares on 2.7K views, a high ratio)</t>
  </si>
  <si>
    <t xml:space="preserve">Yours: your May mosquito-net video had 25 shares on 2.7K views, which is a high share count for its reach, so people send it to someone who needs one.</t>
  </si>
  <si>
    <t xml:space="preserve">Moustiquaire plissée : 3 teintes disponibles
#moustiquaire #fenetre #maroc #fes #aluminium</t>
  </si>
  <si>
    <t xml:space="preserve">Counter tips (your most-saved format)</t>
  </si>
  <si>
    <t xml:space="preserve">"L'astuce du comptoir" (series)</t>
  </si>
  <si>
    <t xml:space="preserve">"Une astuce de 20 secondes" (dust fix, part 2)</t>
  </si>
  <si>
    <t xml:space="preserve">Une astuce de 20 secondes qui évite les retours / حيلة د 20 ثانية كتحميك من المشاكل</t>
  </si>
  <si>
    <t xml:space="preserve">same counter, same camera as your Sept video. Hold the profile and part, show one fix, finish with a question: Et toi, tu fais comment ? 20–30s.</t>
  </si>
  <si>
    <t xml:space="preserve">22–28s</t>
  </si>
  <si>
    <t xml:space="preserve">Save · Share · Comment</t>
  </si>
  <si>
    <t xml:space="preserve">Yours (the dust-fix video has your most saves 23, shares 26, comments 11)</t>
  </si>
  <si>
    <t xml:space="preserve">Yours: the dust-fix video has the most saves (23), shares (26) and comments (11) of anything you've posted. The fixed setup lets viewers recognise the series. Run it weekly and pick topics from real customer questions.</t>
  </si>
  <si>
    <t xml:space="preserve">a question. Tu fais comment, toi ? 👇
#aluminium #menuiserie #fes #maroc #نجارة_الألمنيوم</t>
  </si>
  <si>
    <t xml:space="preserve">Counter</t>
  </si>
  <si>
    <t xml:space="preserve">S70P vs S90RP in your hands</t>
  </si>
  <si>
    <t xml:space="preserve">Où est la rupture de pont thermique ? / فين كاينة قطعة العزل الحراري؟</t>
  </si>
  <si>
    <t xml:space="preserve">two profiles side by side, finger on the thermal barrier, then the frame sizes (your site: S90 has a 90 mm frame). 20–30s.</t>
  </si>
  <si>
    <t xml:space="preserve">22–25s</t>
  </si>
  <si>
    <t xml:space="preserve">Save · Comment · Rewatch</t>
  </si>
  <si>
    <t xml:space="preserve">Untested (your site describes exactly this demo)</t>
  </si>
  <si>
    <t xml:space="preserve">Yours/Untested: your site says handling profiles "apprend en deux minutes ce qu'un catalogue met une heure à expliquer". This is that, on camera.</t>
  </si>
  <si>
    <t xml:space="preserve">S70P ou S90RP ? 👇
#coulissant #aluminium #menuiserie #fes #maroc</t>
  </si>
  <si>
    <t xml:space="preserve">Quiz: "Quel profil porte 400 kg ?"</t>
  </si>
  <si>
    <t xml:space="preserve">Lequel porte 400 kg par vantail ? / شمن بروفيل كيحمل 400 كيلو؟</t>
  </si>
  <si>
    <t xml:space="preserve">four profile close-ups labelled S70P, S90RP, S88RP, S110P. Pause 2 seconds, reveal S110P. Pin the full list in a comment: S70P 80 kg, S90RP 160 kg, S88RP 200–300 kg, S110P 400 kg (from your site).</t>
  </si>
  <si>
    <t xml:space="preserve">15s</t>
  </si>
  <si>
    <t xml:space="preserve">Comment · Rewatch</t>
  </si>
  <si>
    <t xml:space="preserve">Untested</t>
  </si>
  <si>
    <t xml:space="preserve">Untested: built-in comment bait with a checkable answer. Don't include the S125RP in the options, because your site flags its limits as needing validation.</t>
  </si>
  <si>
    <t xml:space="preserve">Ton avis ? 👇
#aluminium #coulissant #menuiserie #maroc #fes</t>
  </si>
  <si>
    <t xml:space="preserve">"Pourquoi deux devis sont différents"</t>
  </si>
  <si>
    <t xml:space="preserve">"Pourquoi deux devis de profilés sont différents"</t>
  </si>
  <si>
    <t xml:space="preserve">Même profilé, deux prix. Pourquoi ? / علاش جوج devis د البروفيلي مختلفين فالثمن؟</t>
  </si>
  <si>
    <t xml:space="preserve">four quick text beats, one per factor from your FAQ: référence, quantité, finition, destination. Film the presenter at the counter. 20s.</t>
  </si>
  <si>
    <t xml:space="preserve">20s</t>
  </si>
  <si>
    <t xml:space="preserve">Save · Share</t>
  </si>
  <si>
    <t xml:space="preserve">Niche (price/devis captions: median 12K views, save rate 0.38%, n=30)</t>
  </si>
  <si>
    <t xml:space="preserve">Niche: captions about price/devis had a median of 12K views and a high save rate (0.38%, n=30). It needs no actual prices.</t>
  </si>
  <si>
    <t xml:space="preserve">Les 4 choses qui changent le prix
#aluminium #devis #menuiserie #fes #maroc</t>
  </si>
  <si>
    <t xml:space="preserve">The 3D/AR tool</t>
  </si>
  <si>
    <t xml:space="preserve">"Il hésite ? Montre-lui chez lui"</t>
  </si>
  <si>
    <t xml:space="preserve">Ton client n'arrive pas à se projeter ? / الزبون ما قادرش يتخيل؟ شوف هاد الحل</t>
  </si>
  <si>
    <t xml:space="preserve">screen recording. Empty terrace, then a pergola appears at real size, rotates, changes colour. 15–25s.</t>
  </si>
  <si>
    <t xml:space="preserve">20–25s</t>
  </si>
  <si>
    <t xml:space="preserve">Share · Rewatch · Comment</t>
  </si>
  <si>
    <t xml:space="preserve">Untested (nobody in the sample shows this)</t>
  </si>
  <si>
    <t xml:space="preserve">Untested, but it's the one thing no competitor in my sample shows, and your site gives the selling points (no app, loads in about a second on 4G).</t>
  </si>
  <si>
    <t xml:space="preserve">Voir sa pergola chez soi avant de signer 🤯
#pergola #pergolabioclimatique #maroc #fes #بيرغولا</t>
  </si>
  <si>
    <t xml:space="preserve">CTA: Menuisiers : demandez votre lien. It's for professional customers only, which makes it exclusive.</t>
  </si>
  <si>
    <t xml:space="preserve">Screen recording</t>
  </si>
  <si>
    <t xml:space="preserve">"Pergola configurée en 30 secondes"</t>
  </si>
  <si>
    <t xml:space="preserve">Pergola in 30 seconds</t>
  </si>
  <si>
    <t xml:space="preserve">Une pergola 4,20 × 6,00 m configurée en 30 secondes / بيرغولا فـ 30 ثانية</t>
  </si>
  <si>
    <t xml:space="preserve">screen recording with a visible timer: size, colour, blades, LED, then the WhatsApp quote request arriving. 30s.</t>
  </si>
  <si>
    <t xml:space="preserve">30s</t>
  </si>
  <si>
    <t xml:space="preserve">Rewatch · Share</t>
  </si>
  <si>
    <t xml:space="preserve">Untested: speed-run formats work as proof. The WhatsApp ending shows the benefit for the menuisier: a complete request with sizes and finish.</t>
  </si>
  <si>
    <t xml:space="preserve">Un devis complet en 30 secondes
#pergola #aluminium #devis #maroc #fes</t>
  </si>
  <si>
    <t xml:space="preserve">A menuisier and his client</t>
  </si>
  <si>
    <t xml:space="preserve">Comment ce menuisier convainc son client avant la signature / كيفاش هاد النجار كيقنع الزبون قبل ما يوقع</t>
  </si>
  <si>
    <t xml:space="preserve">ask a customer workshop to film themselves showing the tool to a client (their own logo and link). Tag them. 20–30s.</t>
  </si>
  <si>
    <t xml:space="preserve">20–30s</t>
  </si>
  <si>
    <t xml:space="preserve">Untested: a customer's own video is more credible than yours, and they'll repost it. Start with 3 workshops.</t>
  </si>
  <si>
    <t xml:space="preserve">Montrer avant de vendre
#menuisier #aluminium #maroc #fes #pergola</t>
  </si>
  <si>
    <t xml:space="preserve">Ask a favour (3 customer workshops)</t>
  </si>
  <si>
    <t xml:space="preserve">"One clever mechanism"</t>
  </si>
  <si>
    <t xml:space="preserve">The window that disappears</t>
  </si>
  <si>
    <t xml:space="preserve">La fenêtre qui disparaît / الشباك لي كيتخبى فالحيط</t>
  </si>
  <si>
    <t xml:space="preserve">an S88RP with galandage: the leaf slides fully into the wall. No talking. 8–12s.</t>
  </si>
  <si>
    <t xml:space="preserve">10–12s</t>
  </si>
  <si>
    <t xml:space="preserve">Niche (one surprising mechanism, under 20 seconds: 1.8M to 9M views for others)</t>
  </si>
  <si>
    <t xml:space="preserve">Niche: the biggest videos here show a single surprising mechanism in under 20 seconds (1.8M to 9M views). Your site lists galandage as an S88RP option.</t>
  </si>
  <si>
    <t xml:space="preserve">La fenêtre qui disparaît 👀
#fenetre #coulissant #galandage #maroc #نجارة_الألمنيوم</t>
  </si>
  <si>
    <t xml:space="preserve">The thinnest frame (S86RP)</t>
  </si>
  <si>
    <t xml:space="preserve">The thinnest frame in the range</t>
  </si>
  <si>
    <t xml:space="preserve">42 mm au centre. Le plus fin. / أنحف بروفيل</t>
  </si>
  <si>
    <t xml:space="preserve">close-up of the S86RP centre section against a bright view. 8–10s.</t>
  </si>
  <si>
    <t xml:space="preserve">Niche (same format as #12), built on your own spec</t>
  </si>
  <si>
    <t xml:space="preserve">Niche: same format as #12, based on your own spec (42 mm at the centre).</t>
  </si>
  <si>
    <t xml:space="preserve">Le plus fin du catalogue
#coulissant #aluminium #architecture #maroc #fes</t>
  </si>
  <si>
    <t xml:space="preserve">"400 kg sur un seul vantail"</t>
  </si>
  <si>
    <t xml:space="preserve">"400 kg… pour de vrai ?"</t>
  </si>
  <si>
    <t xml:space="preserve">Un vantail de 400 kg ? / واش بصح كيحمل 400 كيلو؟</t>
  </si>
  <si>
    <t xml:space="preserve">loads added in steps on a supervised mock-up, with a clean cut at the end. 15–20s.</t>
  </si>
  <si>
    <t xml:space="preserve">17s</t>
  </si>
  <si>
    <t xml:space="preserve">Rewatch · Comment</t>
  </si>
  <si>
    <t xml:space="preserve">Untested: spectacle plus a spec people remember.</t>
  </si>
  <si>
    <t xml:space="preserve">Un vantail de 400 kg 🤯
#coulissant #aluminium #maroc #fes #architecture</t>
  </si>
  <si>
    <t xml:space="preserve">Safety: use a rig, not real glass, and don't imply it's a certified test. The figure comes from your site, so check it against the STRUGAL sheet first.</t>
  </si>
  <si>
    <t xml:space="preserve">Try later (needs safe rig)</t>
  </si>
  <si>
    <t xml:space="preserve">Kitchens and dressings</t>
  </si>
  <si>
    <t xml:space="preserve">Integrated handle, silent reveal</t>
  </si>
  <si>
    <t xml:space="preserve">La poignée qu'on ne voit pas / المقبض لي ما كيبانش</t>
  </si>
  <si>
    <t xml:space="preserve">a kitchen door opens by its integrated handle profile. No talking, no voiceover. 5–10s.</t>
  </si>
  <si>
    <t xml:space="preserve">7s</t>
  </si>
  <si>
    <t xml:space="preserve">Niche (kitchen captions: median ~30K views; @proalumad's 7-second silent reveal hit 8.3M)</t>
  </si>
  <si>
    <t xml:space="preserve">Niche: kitchens have a median of ~30K views in this sample, and @proalumad's 7-second silent kitchen reveal reached 8.3M. Kitchen fabricators are your customers, so the people who watch are the people who buy.</t>
  </si>
  <si>
    <t xml:space="preserve">المقبض لي ما كيبانش
#cuisinealuminium #مطابخ_حديثة_المنيوم #fes #maroc</t>
  </si>
  <si>
    <t xml:space="preserve">Kitchen / dressing</t>
  </si>
  <si>
    <t xml:space="preserve">One dressing, three finishes</t>
  </si>
  <si>
    <t xml:space="preserve">Bicolore, effet bois ou anodisé ? / أي تشطيب كتفضل؟</t>
  </si>
  <si>
    <t xml:space="preserve">the same profile in three finishes, wipe or swipe between them. 10–15s.</t>
  </si>
  <si>
    <t xml:space="preserve">13s</t>
  </si>
  <si>
    <t xml:space="preserve">Niche/Untested</t>
  </si>
  <si>
    <t xml:space="preserve">Niche/Untested: your site names these finishes for the S90RP, and a "pick one" question drives comments.</t>
  </si>
  <si>
    <t xml:space="preserve">Ton choix ?
#dressing #aluminium #maroc #fes #design</t>
  </si>
  <si>
    <t xml:space="preserve">Humour, trust and replies</t>
  </si>
  <si>
    <t xml:space="preserve">Skit: "un petit coulissant"</t>
  </si>
  <si>
    <t xml:space="preserve">Le client veut un « petit coulissant »… / بغيت غير coulissant صغير…</t>
  </si>
  <si>
    <t xml:space="preserve">the client holds out his hands, then a tape measure reads 4 metres. 15s, Darija, two people.</t>
  </si>
  <si>
    <t xml:space="preserve">15s, Darija, French subtitles</t>
  </si>
  <si>
    <t xml:space="preserve">Share · Comment</t>
  </si>
  <si>
    <t xml:space="preserve">Untested. Try 2–3 skits and keep it only if it earns shares.</t>
  </si>
  <si>
    <t xml:space="preserve">Untested: relatable humour about the menuisier's daily life. Try it 2 or 3 times, then keep it only if it earns shares.</t>
  </si>
  <si>
    <t xml:space="preserve">Tous les menuisiers connaissent 😅
#menuisier #aluminium #maroc #humour #fes</t>
  </si>
  <si>
    <t xml:space="preserve">Try later</t>
  </si>
  <si>
    <t xml:space="preserve">"L'aluminium rouille ?"</t>
  </si>
  <si>
    <t xml:space="preserve">L'aluminium rouille ? / واش الألمنيوم كيصدا؟</t>
  </si>
  <si>
    <t xml:space="preserve">answer in one sentence, then show why (your exterior page: it forms a thin protective oxide layer and doesn't rust). 15–20s.</t>
  </si>
  <si>
    <t xml:space="preserve">15–20s</t>
  </si>
  <si>
    <t xml:space="preserve">Share · Save</t>
  </si>
  <si>
    <t xml:space="preserve">Untested (your exterior page already has the facts)</t>
  </si>
  <si>
    <t xml:space="preserve">Untested: your site already has the explanation. Myth-busting is easy to share with a customer who asked the same thing.</t>
  </si>
  <si>
    <t xml:space="preserve">Le mythe qui revient tout le temps
#aluminium #menuiserie #maroc #fes #bricolage</t>
  </si>
  <si>
    <t xml:space="preserve">"Touchez avant de commander" (Sefrou showroom)</t>
  </si>
  <si>
    <t xml:space="preserve">Le showroom où tu peux tout comparer en main / جرّب بيدك قبل ما تطلب</t>
  </si>
  <si>
    <t xml:space="preserve">walk through the Sefrou showroom, pick up two profiles, show opening hours (lundi–samedi, 9h–19h). 20–25s.</t>
  </si>
  <si>
    <t xml:space="preserve">20–22s</t>
  </si>
  <si>
    <t xml:space="preserve">Local · Real</t>
  </si>
  <si>
    <t xml:space="preserve">Yours/Untested (your best videos are shop-floor footage)</t>
  </si>
  <si>
    <t xml:space="preserve">Yours/Untested: your top videos are shop-floor footage. This turns the showroom into the reason to visit.</t>
  </si>
  <si>
    <t xml:space="preserve">Le showroom STRUGAL de Sefrou
#sefrou #strugal #aluminium #maroc #fes</t>
  </si>
  <si>
    <t xml:space="preserve">Reply video to a menuisier's comment</t>
  </si>
  <si>
    <t xml:space="preserve">Reply to a menuisier's comment</t>
  </si>
  <si>
    <t xml:space="preserve">the commenter's question on screen as a video reply, then your answer.</t>
  </si>
  <si>
    <t xml:space="preserve">15–30s at the counter, one question, one answer.</t>
  </si>
  <si>
    <t xml:space="preserve">15–30s</t>
  </si>
  <si>
    <t xml:space="preserve">Comment · Local</t>
  </si>
  <si>
    <t xml:space="preserve">Niche (your comment counts are only 1–11)</t>
  </si>
  <si>
    <t xml:space="preserve">Niche: your comment counts are 1–11, so any reply you give is also a reason for them to comment again. These cost almost nothing to film.</t>
  </si>
  <si>
    <t xml:space="preserve">Réponse à @…
#aluminium #menuiserie #fes #maroc</t>
  </si>
  <si>
    <t xml:space="preserve">How to read the ideas (from the ideas file)</t>
  </si>
  <si>
    <t xml:space="preserve">Built from the research in prompolu-content-strategy.md: your 10 TikToks, 479 niche videos (188 Moroccan) and the specs on prompolu.com.</t>
  </si>
  <si>
    <t xml:space="preserve">How to read each card</t>
  </si>
  <si>
    <t xml:space="preserve">• Hook: the on-screen text for the first 1–2 seconds, in French and Darija. The Darija lines are drafts, so change them to how you actually speak.</t>
  </si>
  <si>
    <t xml:space="preserve">• Shots: what to film, beat by beat.</t>
  </si>
  <si>
    <t xml:space="preserve">• Why: the evidence. Yours = your own TikTok results. Niche = the 479-video sample. Untested = a reasonable bet with no data behind it.</t>
  </si>
  <si>
    <t xml:space="preserve">• Length is a target, not a rule. Everything is 9:16.</t>
  </si>
  <si>
    <t xml:space="preserve">Evidence</t>
  </si>
  <si>
    <t xml:space="preserve">Why it can travel</t>
  </si>
  <si>
    <t xml:space="preserve">Setup</t>
  </si>
  <si>
    <t xml:space="preserve">Hooks (A/B/bank)</t>
  </si>
  <si>
    <t xml:space="preserve">Sound &amp; edit</t>
  </si>
  <si>
    <t xml:space="preserve">Caption</t>
  </si>
  <si>
    <t xml:space="preserve">Tags</t>
  </si>
  <si>
    <t xml:space="preserve">Pinned comment</t>
  </si>
  <si>
    <t xml:space="preserve">Next episodes</t>
  </si>
  <si>
    <t xml:space="preserve">Watch-outs</t>
  </si>
  <si>
    <t xml:space="preserve">Win signal</t>
  </si>
  <si>
    <t xml:space="preserve">Extra notes</t>
  </si>
  <si>
    <t xml:space="preserve">spectacle (a truck piled high with bars) plus a local reveal. It shows "livraison partout au Maroc" without saying it.</t>
  </si>
  <si>
    <t xml:space="preserve">Setup: film from behind at street level. Fix the phone (wall, tripod or a helper standing still). Morning light. Ask someone to tighten the straps on camera.
Check: nothing in frame that identifies a customer.</t>
  </si>
  <si>
    <t xml:space="preserve">Hook A (statement): Ce camion part pour Meknès ce matin / هاد الكاميو غادي لمكناس دابا
Hook B (curiosity): Devine où part ce camion 🚚, with the city hidden until 10s. People watch to the end and comment guesses.</t>
  </si>
  <si>
    <t xml:space="preserve">no cuts during the drive-away; it's more satisfying as one take. Use a different city each time.</t>
  </si>
  <si>
    <t xml:space="preserve">Livraison du jour 🚚</t>
  </si>
  <si>
    <t xml:space="preserve">#aluminium #maroc #fes #meknes #نجارة_الألمنيوم</t>
  </si>
  <si>
    <t xml:space="preserve">On livre partout au Maroc. Dites-nous votre ville 👇 (the city comments are proof, and your next videos' destinations).</t>
  </si>
  <si>
    <t xml:space="preserve">(a) the truck arriving at the workshop, with the menuisier's permission; (b) loading in time-lapse (8×); (c) after 10 deliveries, a map video with pins; (d) "Livré à Taza / Oujda / Casablanca" to open new regions.</t>
  </si>
  <si>
    <t xml:space="preserve">blur faces and plates that aren't yours. Don't block the road for the shot.</t>
  </si>
  <si>
    <t xml:space="preserve">beats 14.7K, or shares above 0.15% of views.</t>
  </si>
  <si>
    <t xml:space="preserve">a quick sequence people replay to catch every colour, plus a pick-one question.</t>
  </si>
  <si>
    <t xml:space="preserve">walk the aisle at a steady pace, phone at chest height in both hands (or a gimbal). Bright, even light.</t>
  </si>
  <si>
    <t xml:space="preserve">Hook A: Même profil. 6 teintes. / نفس البروفيل، 6 ألوان
Hook B (Arabic first): أي لون كتختار لفيلا فاس؟</t>
  </si>
  <si>
    <t xml:space="preserve">time each label to a footstep. Add "Teintes indicatives (écran)" in small text, which your own site says about screen colours.</t>
  </si>
  <si>
    <t xml:space="preserve">Quelle teinte pour ta menuiserie ? 👇</t>
  </si>
  <si>
    <t xml:space="preserve">#aluminium #fes #maroc #menuiserie #strugal</t>
  </si>
  <si>
    <t xml:space="preserve">the colour list and Demandez le stock du jour sur WhatsApp.</t>
  </si>
  <si>
    <t xml:space="preserve">"Teinte du mois"; RAL 7016 vs 9016 on a real window (your site's AR examples use RAL 7016, 9006 and 9016); the same window in 3 colours.</t>
  </si>
  <si>
    <t xml:space="preserve">only list colours actually in stock.</t>
  </si>
  <si>
    <t xml:space="preserve">comment replies naming a number or colour, and shares above 0.2%.</t>
  </si>
  <si>
    <t xml:space="preserve">it's satisfying. The sound of straps and sliding bars is half of it.</t>
  </si>
  <si>
    <t xml:space="preserve">film only a real delivery. Hold the phone close to the strap and the bundle. Wind off, no music.</t>
  </si>
  <si>
    <t xml:space="preserve">Arrivage ✅</t>
  </si>
  <si>
    <t xml:space="preserve">#aluminium #strugal #fes #maroc #نجارة_الألمنيوم</t>
  </si>
  <si>
    <t xml:space="preserve">Quelle référence vous cherchez ?</t>
  </si>
  <si>
    <t xml:space="preserve">"Arrivage #2"; empty truck → full shelf in 15s; the oldest and newest profile in the store.</t>
  </si>
  <si>
    <t xml:space="preserve">announce only what's really in stock, or WhatsApp fills with disappointed messages.</t>
  </si>
  <si>
    <t xml:space="preserve">WhatsApp enquiries naming the reference.</t>
  </si>
  <si>
    <t xml:space="preserve">people send it to someone who needs one.</t>
  </si>
  <si>
    <t xml:space="preserve">a real window in daylight; three net samples.</t>
  </si>
  <si>
    <t xml:space="preserve">Hook A: Elle se plie dans le coin 👀 / الناموسية كتتطوى فالركن
Hook B: Fenêtre ouverte, moustiques dehors.</t>
  </si>
  <si>
    <t xml:space="preserve">Moustiquaire plissée : 3 teintes disponibles</t>
  </si>
  <si>
    <t xml:space="preserve">#moustiquaire #fenetre #maroc #fes #aluminium</t>
  </si>
  <si>
    <t xml:space="preserve">Tag quelqu'un qui en a besoin 👇 (this prompts the shares you already get).</t>
  </si>
  <si>
    <t xml:space="preserve">net on a French door; the 3 colours on 3 window colours; how it's fitted (only if you can show it simply).</t>
  </si>
  <si>
    <t xml:space="preserve">strongest from spring to summer. Re-post it in April.</t>
  </si>
  <si>
    <t xml:space="preserve">shares per 1,000 views above 5.</t>
  </si>
  <si>
    <t xml:space="preserve">it's useful to exactly the person you want to reach, and menuisiers send tricks to each other.</t>
  </si>
  <si>
    <t xml:space="preserve">the same counter, camera and outfit as the September video so viewers recognise it. A small tripod at eye level, warm light, a clean background. The series name is a small text tag in the corner, not a separate intro.</t>
  </si>
  <si>
    <t xml:space="preserve">Hook bank: Une erreur qui coûte un retour de chantier / غلطة كتكلف رجوع من الورش · Personne ne t'a montré ça · Une astuce de 20 secondes / حيلة د 20 ثانية</t>
  </si>
  <si>
    <t xml:space="preserve">a question. Tu fais comment, toi ? 👇</t>
  </si>
  <si>
    <t xml:space="preserve">#aluminium #menuiserie #fes #maroc #نجارة_الألمنيوم</t>
  </si>
  <si>
    <t xml:space="preserve">the tip in one line (saveable).</t>
  </si>
  <si>
    <t xml:space="preserve">reply videos to the best comments (#20); "Partie 2"; a "wrong way / right way" split screen.</t>
  </si>
  <si>
    <t xml:space="preserve">every technical claim must be correct. If you aren't sure, ask STRUGAL or your most experienced fitter.</t>
  </si>
  <si>
    <t xml:space="preserve">saves ≥ shares, and menuisiers posting their own tricks in the comments.</t>
  </si>
  <si>
    <t xml:space="preserve">Topic backlog: (the first five come from your site, so they're safe; the rest are yours to validate):
1. Dust fix for the flat lock, part 2 (your own).
2. What the letters mean: P, R, RP (your site explains them).
3. Maximum glazing per system (S70P 21 mm, S88 32 mm).
4. Leaf weight vs system choice.
5. How to write a quote request (reference, quantity, finish, city).
6. Where the thermal barrier sits and why it matters.
7. Your own workshop tricks: rollers, drainage, gaskets, silicone. Tell me which you want expanded.</t>
  </si>
  <si>
    <t xml:space="preserve">"find the thermal barrier" is a small game viewers try to win.</t>
  </si>
  <si>
    <t xml:space="preserve">two corner samples on the counter, a pen, a camera looking straight down.</t>
  </si>
  <si>
    <t xml:space="preserve">Où est la barrette ? / فين كاينة قطعة العزل؟</t>
  </si>
  <si>
    <t xml:space="preserve">S70P ou S90RP ? 👇</t>
  </si>
  <si>
    <t xml:space="preserve">#coulissant #aluminium #menuiserie #fes #maroc</t>
  </si>
  <si>
    <t xml:space="preserve">a mini comparison table.</t>
  </si>
  <si>
    <t xml:space="preserve">S88RP vs S90RP (your FAQ covers it); S70R vs S70P ("jusqu'à 20% d'économies d'énergie" per your site).</t>
  </si>
  <si>
    <t xml:space="preserve">Uw and acoustic values depend on the glazing and configuration, so write "selon fiche technique" on screen.</t>
  </si>
  <si>
    <t xml:space="preserve">comments answering "lequel", saves.</t>
  </si>
  <si>
    <t xml:space="preserve">four close-ups on one background; a big countdown graphic.</t>
  </si>
  <si>
    <t xml:space="preserve">Lequel porte 400 kg ? / شمن بروفيل كيحمل 400 كيلو؟</t>
  </si>
  <si>
    <t xml:space="preserve">end on the answer, then cut straight back to the four tiles so it loops and people rewatch to check.</t>
  </si>
  <si>
    <t xml:space="preserve">Ton avis ? 👇</t>
  </si>
  <si>
    <t xml:space="preserve">#aluminium #coulissant #menuiserie #maroc #fes</t>
  </si>
  <si>
    <t xml:space="preserve">the full table: S70P 80 kg · S90RP 160 kg · S88RP 200–300 kg · S110P 400 kg.</t>
  </si>
  <si>
    <t xml:space="preserve">"Quel système pour 3,3 × 3,2 m ?" (S88: max 3300 × 3200 mm); "Quel vitrage max ?" (21 / 26 / 32 mm).</t>
  </si>
  <si>
    <t xml:space="preserve">keep the S125RP out of the options, because its limits come with a validation note on your site. Add "Valeurs max, voir fiche technique".</t>
  </si>
  <si>
    <t xml:space="preserve">a lot of comments, wrong answers included. Reply to those.</t>
  </si>
  <si>
    <t xml:space="preserve">it removes a frustration every menuisier has with suppliers. And it needs no prices.</t>
  </si>
  <si>
    <t xml:space="preserve">علاش جوج devis د البروفيلي مختلفين فالثمن؟</t>
  </si>
  <si>
    <t xml:space="preserve">Les 4 choses qui changent le prix</t>
  </si>
  <si>
    <t xml:space="preserve">#aluminium #devis #menuiserie #fes #maroc</t>
  </si>
  <si>
    <t xml:space="preserve">Pinned comment (the save): a copy-paste WhatsApp template: Référence : … / Quantité (barres ou ml) : … / Finition : … / Ville : …</t>
  </si>
  <si>
    <t xml:space="preserve">"Barres ou mètres ?"; "Comment lire une référence STRUGAL"; "Compte pro : quand c'est utile".</t>
  </si>
  <si>
    <t xml:space="preserve">no prices unless you decide to publish them.</t>
  </si>
  <si>
    <t xml:space="preserve">saves above shares, and WhatsApp messages that follow your template.</t>
  </si>
  <si>
    <t xml:space="preserve">the "magic" moment of a pergola appearing on a real terrace, and homeowners tag their menuisier.</t>
  </si>
  <si>
    <t xml:space="preserve">a real terrace in late-afternoon light. Two people: one holds the phone, the other films over the shoulder, so the viewer sees the screen and the real space. Test the link before filming (recent phone needed, and the tool must be working).</t>
  </si>
  <si>
    <t xml:space="preserve">Hook A (client): Avant de signer, il voit sa pergola chez lui
Hook B (menuisier): Ton client hésite ? Montre-lui ça / الزبون كيتردد؟ خليه يشوف البيرغولا فالتيراس ديالو</t>
  </si>
  <si>
    <t xml:space="preserve">Voir sa pergola chez soi avant de signer 🤯</t>
  </si>
  <si>
    <t xml:space="preserve">#pergola #pergolabioclimatique #maroc #fes #بيرغولا</t>
  </si>
  <si>
    <t xml:space="preserve">Réservé aux menuisiers partenaires. Écrivez-nous pour votre lien.</t>
  </si>
  <si>
    <t xml:space="preserve">Glass Line railing on a balcony; sliding bay S90RP, 3 leaves, 3,60 × 2,20 m; window S53RP+ tilt-and-turn (all taken from your site's examples).</t>
  </si>
  <si>
    <t xml:space="preserve">add "Outil de vente, pas un plan d'atelier. Teintes indicatives." (your site says so). The tool is for professional customers, so make the CTA for them.</t>
  </si>
  <si>
    <t xml:space="preserve">menuisiers asking for access, and homeowners tagging someone.</t>
  </si>
  <si>
    <t xml:space="preserve">a screen recording only. Add a timer overlay at the top.</t>
  </si>
  <si>
    <t xml:space="preserve">Hook A: Pergola configurée en 30 s ⏱️ / بيرغولا فـ 30 ثانية
Hook B: Combien de temps pour faire un devis ?</t>
  </si>
  <si>
    <t xml:space="preserve">speed-ramp between steps, zoom into the buttons, a faint tick sound. Add a 3-second slow replay at the end, because people replay to see the steps.</t>
  </si>
  <si>
    <t xml:space="preserve">Un devis complet en 30 secondes</t>
  </si>
  <si>
    <t xml:space="preserve">#pergola #aluminium #devis #maroc #fes</t>
  </si>
  <si>
    <t xml:space="preserve">the steps as a list.</t>
  </si>
  <si>
    <t xml:space="preserve">railing in 20s; sliding bay in 25s.</t>
  </si>
  <si>
    <t xml:space="preserve">don't fake the speed. Film it in one real take.</t>
  </si>
  <si>
    <t xml:space="preserve">replays and shares from menuisiers.</t>
  </si>
  <si>
    <t xml:space="preserve">A strong one: record the moment the tool warns when a leaf is too heavy for the system (your site says it does). A "fail" moment gets comments.</t>
  </si>
  <si>
    <t xml:space="preserve">a customer's video is more credible than yours, and they'll share it to their own audience.</t>
  </si>
  <si>
    <t xml:space="preserve">recruit 3 customer workshops. Give each a one-page brief: 4 shots, text lines, their own logo and link. Get their written OK, and the client's OK for any face (or film hands only).</t>
  </si>
  <si>
    <t xml:space="preserve">كيفاش هاد النجار كيقنع الزبون قبل ما يوقع</t>
  </si>
  <si>
    <t xml:space="preserve">Montrer avant de vendre</t>
  </si>
  <si>
    <t xml:space="preserve">#menuisier #aluminium #maroc #fes #pergola</t>
  </si>
  <si>
    <t xml:space="preserve">a monthly "Menuisier du mois".</t>
  </si>
  <si>
    <t xml:space="preserve">keep it real. Film an actual meeting. If you re-enact it, write "reconstitution". Don't claim results (sales closed, etc.) you can't back.</t>
  </si>
  <si>
    <t xml:space="preserve">the workshops reposting it, and requests for links.</t>
  </si>
  <si>
    <t xml:space="preserve">Instagram: use a Collab post so it appears on both accounts.</t>
  </si>
  <si>
    <t xml:space="preserve">you need a real galandage S88RP, either a showroom demo or a customer's installation with permission. If you have neither, skip this idea until you do. A fixed tripod, a wide shot, a clean wall.</t>
  </si>
  <si>
    <t xml:space="preserve">Hook A: Où est la fenêtre ? / فين الشباك؟
Hook B: La fenêtre qui disparaît dans le mur</t>
  </si>
  <si>
    <t xml:space="preserve">La fenêtre qui disparaît 👀</t>
  </si>
  <si>
    <t xml:space="preserve">#fenetre #coulissant #galandage #maroc #نجارة_الألمنيوم</t>
  </si>
  <si>
    <t xml:space="preserve">S88RP avec option galandage : vantail jusqu'à 200–300 kg, jusqu'à 3300 × 3200 mm (voir fiche).</t>
  </si>
  <si>
    <t xml:space="preserve">galandage vs classic sliding; "combien de place dans le mur ?" (verify the technical answer first).</t>
  </si>
  <si>
    <t xml:space="preserve">say "selon configuration" if the product is custom.</t>
  </si>
  <si>
    <t xml:space="preserve">completion and shares.</t>
  </si>
  <si>
    <t xml:space="preserve">a corner sample of the S86RP and a ruler; a bright window behind.</t>
  </si>
  <si>
    <t xml:space="preserve">42 mm seulement / 42 ملم بس</t>
  </si>
  <si>
    <t xml:space="preserve">Le plus fin du catalogue</t>
  </si>
  <si>
    <t xml:space="preserve">#coulissant #aluminium #architecture #maroc #fes</t>
  </si>
  <si>
    <t xml:space="preserve">"Plus fin encore ? 25 mm" (the S140RP central mullion).</t>
  </si>
  <si>
    <t xml:space="preserve">do not compare 42 mm to the S90's 90 mm. The first is a central section and the second a frame width, so that would be misleading. Use the ruler and a finger.</t>
  </si>
  <si>
    <t xml:space="preserve">shares from architects and menuisiers.</t>
  </si>
  <si>
    <t xml:space="preserve">a number people can picture.</t>
  </si>
  <si>
    <t xml:space="preserve">400 kg = 8 sacs de ciment. Sur UN vantail. / 400 كيلو = 8 د السياك. فضلفة وحدة</t>
  </si>
  <si>
    <t xml:space="preserve">Un vantail de 400 kg 🤯</t>
  </si>
  <si>
    <t xml:space="preserve">#coulissant #aluminium #maroc #fes #architecture</t>
  </si>
  <si>
    <t xml:space="preserve">S110P : 400 kg max/vantail, dimensions max 3200 × 3000 mm.</t>
  </si>
  <si>
    <t xml:space="preserve">this is the maximum allowed leaf weight, not a test result. Don't call it a certified test. Mind your back when lifting.</t>
  </si>
  <si>
    <t xml:space="preserve">comments asking about other systems, which feed the quiz (#7).</t>
  </si>
  <si>
    <t xml:space="preserve">Version B (only if your technical lead and the supplier validate it): a load rig: Use a frame and sandbags, not glass, with protective gear and nobody beneath the load. Never exceed the limit.</t>
  </si>
  <si>
    <t xml:space="preserve">the biggest audience in Moroccan aluminium TikTok, and kitchen fabricators are your customers.</t>
  </si>
  <si>
    <t xml:space="preserve">a finished kitchen with an integrated-handle profile from your range (permission from the fabricator and the owner; no faces or address). Film at 120 fps for slow motion, with macro close-ups.</t>
  </si>
  <si>
    <t xml:space="preserve">the visual itself, plus 3 words. المقبض لي ما كيبانش</t>
  </si>
  <si>
    <t xml:space="preserve">silent or gentle ambient.</t>
  </si>
  <si>
    <t xml:space="preserve">المقبض لي ما كيبانش</t>
  </si>
  <si>
    <t xml:space="preserve">#cuisinealuminium #مطابخ_حديثة_المنيوم #fes #maroc</t>
  </si>
  <si>
    <t xml:space="preserve">Profil poignée intégrée disponible pour les menuisiers. Écrivez-nous.</t>
  </si>
  <si>
    <t xml:space="preserve">three finishes; the same kitchen with the lights on; tag the fabricator each time, because they will share it.</t>
  </si>
  <si>
    <t xml:space="preserve">make sure the profile really comes from you.</t>
  </si>
  <si>
    <t xml:space="preserve">menuisiers asking where to buy the profile.</t>
  </si>
  <si>
    <t xml:space="preserve">three identical door samples: bicolour, wood-effect and anodised (laqué is a fourth option on your site).</t>
  </si>
  <si>
    <t xml:space="preserve">أي تشطيب؟ 1 ولا 2 ولا 3؟</t>
  </si>
  <si>
    <t xml:space="preserve">Ton choix ?</t>
  </si>
  <si>
    <t xml:space="preserve">#dressing #aluminium #maroc #fes #design</t>
  </si>
  <si>
    <t xml:space="preserve">Résultat demain 👀</t>
  </si>
  <si>
    <t xml:space="preserve">Next episode (this is a two-parter): Vous avez voté : the winner revealed, as a reply video. A guaranteed second post.</t>
  </si>
  <si>
    <t xml:space="preserve">votes above 30 in the first day.</t>
  </si>
  <si>
    <t xml:space="preserve">the counter, two staff, handheld close-up, a tape measure. One take, deadpan, with a half-second pause before each punchline.</t>
  </si>
  <si>
    <t xml:space="preserve">Tous les menuisiers connaissent 😅</t>
  </si>
  <si>
    <t xml:space="preserve">#menuisier #aluminium #maroc #humour #fes</t>
  </si>
  <si>
    <t xml:space="preserve">keep it affectionate, never mocking a real customer.</t>
  </si>
  <si>
    <t xml:space="preserve">shares with "c'est exactement toi" comments.</t>
  </si>
  <si>
    <t xml:space="preserve">Other skit angles: "Moins cher mais pareil"; the colour chosen on a screen vs the real one (your site notes screen colours are indicative).</t>
  </si>
  <si>
    <t xml:space="preserve">واش الألمنيوم كيصدا؟</t>
  </si>
  <si>
    <t xml:space="preserve">Le mythe qui revient tout le temps</t>
  </si>
  <si>
    <t xml:space="preserve">#aluminium #menuiserie #maroc #fes #bricolage</t>
  </si>
  <si>
    <t xml:space="preserve">stay with claims your site makes. Don't add numbers for corrosion.</t>
  </si>
  <si>
    <t xml:space="preserve">comments from people who believed the myth.</t>
  </si>
  <si>
    <t xml:space="preserve">Series: "3 mythes": (1) rouille, (2) "l'alu est froid" (the thermal break answers it), (3) another one from your FAQ.</t>
  </si>
  <si>
    <t xml:space="preserve">Le showroom STRUGAL de Sefrou</t>
  </si>
  <si>
    <t xml:space="preserve">#sefrou #strugal #aluminium #maroc #fes</t>
  </si>
  <si>
    <t xml:space="preserve">the Google Maps link and hours.</t>
  </si>
  <si>
    <t xml:space="preserve">your site says the two stores don't carry the same product families. The STRUGAL range is shown at Sefrou, so say that clearly.</t>
  </si>
  <si>
    <t xml:space="preserve">visits ("on m'a dit de venir voir").</t>
  </si>
  <si>
    <t xml:space="preserve">Process: pick one comment or DM. Use TikTok's "reply with video" so the question appears as a bubble. Add a question sticker in Instagram Stories and answer the best one as a Reel.</t>
  </si>
  <si>
    <t xml:space="preserve">Réponse à @…</t>
  </si>
  <si>
    <t xml:space="preserve">#aluminium #menuiserie #fes #maroc</t>
  </si>
  <si>
    <t xml:space="preserve">answer only what you're sure of; don't leave a question unanswered if you promised.</t>
  </si>
  <si>
    <t xml:space="preserve">the person you replied to comments back, and others add questions.</t>
  </si>
  <si>
    <t xml:space="preserve">Five answers already on your site (start with these): 1. Faut-il un compte pro pour une première commande ? No. Describe the need and you get a quote.
2. Barres ou mètres ? Bars. Quote in linear metres or number of bars; the length decides the transport.
3. S90RP ou S88RP ? S90RP is for insulation and finishes (leaf up to 160 kg). S88RP is more versatile, with lift-and-slide and galandage (200–300 kg).
4. Quel système pour une grande baie ou une piscine ? The S125RP lift-and-slide (limits to be validated per configuration).
5. Quelle différence entre Fès et Sefrou ? The STRUGAL range is shown at Sefrou; same hours and conditions.</t>
  </si>
  <si>
    <t xml:space="preserve">How each brief is organised (from the playbook)</t>
  </si>
  <si>
    <t xml:space="preserve">Each brief has the same parts: why it can travel, setup, shot-by-shot, hook options (test A against B in different weeks), sound and edit, caption, pinned comment, next episodes, watch-outs and the win signal.</t>
  </si>
  <si>
    <t xml:space="preserve">Table / version</t>
  </si>
  <si>
    <t xml:space="preserve">Time</t>
  </si>
  <si>
    <t xml:space="preserve">Shot / beat / step / line</t>
  </si>
  <si>
    <t xml:space="preserve">On-screen text / sound / notes</t>
  </si>
  <si>
    <t xml:space="preserve">Shot by shot (12–15s)</t>
  </si>
  <si>
    <t xml:space="preserve">0.0–1.5</t>
  </si>
  <si>
    <t xml:space="preserve">The loaded truck from behind, bars sticking out.</t>
  </si>
  <si>
    <t xml:space="preserve">Hook text. Ambient engine.</t>
  </si>
  <si>
    <t xml:space="preserve">1.5–5</t>
  </si>
  <si>
    <t xml:space="preserve">A hand tightens the strap or slaps the tailgate.</t>
  </si>
  <si>
    <t xml:space="preserve">5–10</t>
  </si>
  <si>
    <t xml:space="preserve">The truck pulls away. The camera does not move.</t>
  </si>
  <si>
    <t xml:space="preserve">10–13</t>
  </si>
  <si>
    <t xml:space="preserve">Destination reveal.</t>
  </si>
  <si>
    <t xml:space="preserve">"📍 Meknès"</t>
  </si>
  <si>
    <t xml:space="preserve">13–15</t>
  </si>
  <si>
    <t xml:space="preserve">Empty street (the loop point).</t>
  </si>
  <si>
    <t xml:space="preserve">Phone number, small.</t>
  </si>
  <si>
    <t xml:space="preserve">Shot by shot (18–21s)</t>
  </si>
  <si>
    <t xml:space="preserve">0–1.5</t>
  </si>
  <si>
    <t xml:space="preserve">Close-up of black profiles.</t>
  </si>
  <si>
    <t xml:space="preserve">Hook text.</t>
  </si>
  <si>
    <t xml:space="preserve">1.5–14</t>
  </si>
  <si>
    <t xml:space="preserve">Walk past each colour, a hand touching each stack. Label pops on every colour, one per ~2s.</t>
  </si>
  <si>
    <t xml:space="preserve">noir · gris naturel · fauxbois · blanc 9010 · gris platine · gris givré</t>
  </si>
  <si>
    <t xml:space="preserve">14–19</t>
  </si>
  <si>
    <t xml:space="preserve">The same section in three colours side by side.</t>
  </si>
  <si>
    <t xml:space="preserve">"Ton choix ? 1 / 2 / 3"</t>
  </si>
  <si>
    <t xml:space="preserve">19–21</t>
  </si>
  <si>
    <t xml:space="preserve">Back to the black stack (the loop).</t>
  </si>
  <si>
    <t xml:space="preserve">Shot by shot (8–12s)</t>
  </si>
  <si>
    <t xml:space="preserve">0–1</t>
  </si>
  <si>
    <t xml:space="preserve">Macro: a strap is cut.</t>
  </si>
  <si>
    <t xml:space="preserve">"Nouvel arrivage" · the snap</t>
  </si>
  <si>
    <t xml:space="preserve">1–5</t>
  </si>
  <si>
    <t xml:space="preserve">The bundle opens and profiles fan out. A hand pulls one bar.</t>
  </si>
  <si>
    <t xml:space="preserve">The glide sound</t>
  </si>
  <si>
    <t xml:space="preserve">5–9</t>
  </si>
  <si>
    <t xml:space="preserve">Wide: stacks on the shelf.</t>
  </si>
  <si>
    <t xml:space="preserve">9–11</t>
  </si>
  <si>
    <t xml:space="preserve">Label card.</t>
  </si>
  <si>
    <t xml:space="preserve">"S88RP en stock" (only if true)</t>
  </si>
  <si>
    <t xml:space="preserve">0–2</t>
  </si>
  <si>
    <t xml:space="preserve">Pleated net closed on a window, a hand takes the pull.</t>
  </si>
  <si>
    <t xml:space="preserve">Hook text</t>
  </si>
  <si>
    <t xml:space="preserve">2–7</t>
  </si>
  <si>
    <t xml:space="preserve">Slow pull across the window in one take.</t>
  </si>
  <si>
    <t xml:space="preserve">Glide sound</t>
  </si>
  <si>
    <t xml:space="preserve">7–12</t>
  </si>
  <si>
    <t xml:space="preserve">Three quick cuts: gris givré, blanc, quartz.</t>
  </si>
  <si>
    <t xml:space="preserve">Labels</t>
  </si>
  <si>
    <t xml:space="preserve">12–15</t>
  </si>
  <si>
    <t xml:space="preserve">The net folds back to the side.</t>
  </si>
  <si>
    <t xml:space="preserve">Structure (22–28s)</t>
  </si>
  <si>
    <t xml:space="preserve">Cold open on the problem: the part in hand and the problem text.</t>
  </si>
  <si>
    <t xml:space="preserve">No greeting.</t>
  </si>
  <si>
    <t xml:space="preserve">2–5</t>
  </si>
  <si>
    <t xml:space="preserve">The common mistake (quick).</t>
  </si>
  <si>
    <t xml:space="preserve">5–18</t>
  </si>
  <si>
    <t xml:space="preserve">The fix, in macro on the hands. One angle change at most.</t>
  </si>
  <si>
    <t xml:space="preserve">Say it simply.</t>
  </si>
  <si>
    <t xml:space="preserve">18–23</t>
  </si>
  <si>
    <t xml:space="preserve">Result or before/after.</t>
  </si>
  <si>
    <t xml:space="preserve">23–27</t>
  </si>
  <si>
    <t xml:space="preserve">Et toi, tu fais comment ? + "Partie 2 demain".</t>
  </si>
  <si>
    <t xml:space="preserve">Comment bait.</t>
  </si>
  <si>
    <t xml:space="preserve">Shot by shot (22–25s)</t>
  </si>
  <si>
    <t xml:space="preserve">Top-down on the S90RP section.</t>
  </si>
  <si>
    <t xml:space="preserve">Où est la barrette ?</t>
  </si>
  <si>
    <t xml:space="preserve">2–6</t>
  </si>
  <si>
    <t xml:space="preserve">Slow pan. A 3-2-1 countdown.</t>
  </si>
  <si>
    <t xml:space="preserve">Cherche-la</t>
  </si>
  <si>
    <t xml:space="preserve">6–10</t>
  </si>
  <si>
    <t xml:space="preserve">The pen taps the barrette (add a colour highlight in the edit).</t>
  </si>
  <si>
    <t xml:space="preserve">10–17</t>
  </si>
  <si>
    <t xml:space="preserve">Side by side with S70P.</t>
  </si>
  <si>
    <t xml:space="preserve">S70P: 80 kg/vantail, vitrage 21 mm · S90RP: 160 kg, Uw 2,2</t>
  </si>
  <si>
    <t xml:space="preserve">17–23</t>
  </si>
  <si>
    <t xml:space="preserve">One-line verdicts.</t>
  </si>
  <si>
    <t xml:space="preserve">S70P = budget résidentiel · S90RP = isolation + finitions</t>
  </si>
  <si>
    <t xml:space="preserve">23–25</t>
  </si>
  <si>
    <t xml:space="preserve">Toi, tu pars sur lequel ?</t>
  </si>
  <si>
    <t xml:space="preserve">Shot by shot (15s)</t>
  </si>
  <si>
    <t xml:space="preserve">Four tiles appear.</t>
  </si>
  <si>
    <t xml:space="preserve">Lequel porte 400 kg par vantail ?</t>
  </si>
  <si>
    <t xml:space="preserve">2–10</t>
  </si>
  <si>
    <t xml:space="preserve">Each profile in close-up, about 2 seconds each.</t>
  </si>
  <si>
    <t xml:space="preserve">S70P · S90RP · S88RP · S110P</t>
  </si>
  <si>
    <t xml:space="preserve">Countdown.</t>
  </si>
  <si>
    <t xml:space="preserve">3… 2… 1… Réponds en commentaire</t>
  </si>
  <si>
    <t xml:space="preserve">Reveal.</t>
  </si>
  <si>
    <t xml:space="preserve">S110P · 400 kg max/vantail</t>
  </si>
  <si>
    <t xml:space="preserve">Shot by shot (20s)</t>
  </si>
  <si>
    <t xml:space="preserve">Two quote sheets side by side, figures hidden.</t>
  </si>
  <si>
    <t xml:space="preserve">Même profilé, deux prix. Pourquoi ?</t>
  </si>
  <si>
    <t xml:space="preserve">2–5.5</t>
  </si>
  <si>
    <t xml:space="preserve">Hold two different profiles.</t>
  </si>
  <si>
    <t xml:space="preserve">1/4 La référence</t>
  </si>
  <si>
    <t xml:space="preserve">5.5–9</t>
  </si>
  <si>
    <t xml:space="preserve">A stack of bars next to a tape measure.</t>
  </si>
  <si>
    <t xml:space="preserve">2/4 La quantité (barres ou mètres)</t>
  </si>
  <si>
    <t xml:space="preserve">9–12.5</t>
  </si>
  <si>
    <t xml:space="preserve">Colour samples.</t>
  </si>
  <si>
    <t xml:space="preserve">3/4 La finition</t>
  </si>
  <si>
    <t xml:space="preserve">12.5–16</t>
  </si>
  <si>
    <t xml:space="preserve">A map pin or the truck.</t>
  </si>
  <si>
    <t xml:space="preserve">4/4 La destination</t>
  </si>
  <si>
    <t xml:space="preserve">16–20</t>
  </si>
  <si>
    <t xml:space="preserve">Phone with WhatsApp open.</t>
  </si>
  <si>
    <t xml:space="preserve">Envoie ces 4 infos, on chiffre vite.</t>
  </si>
  <si>
    <t xml:space="preserve">Shot by shot (20–25s)</t>
  </si>
  <si>
    <t xml:space="preserve">The empty terrace.</t>
  </si>
  <si>
    <t xml:space="preserve">A WhatsApp link is tapped, and it opens in the browser.</t>
  </si>
  <si>
    <t xml:space="preserve">Aucune appli</t>
  </si>
  <si>
    <t xml:space="preserve">The pergola appears at real size; size set to 4,20 × 6,00 m.</t>
  </si>
  <si>
    <t xml:space="preserve">A soft "pop"</t>
  </si>
  <si>
    <t xml:space="preserve">10–15</t>
  </si>
  <si>
    <t xml:space="preserve">Colour changes (e.g. RAL 7016); blades open and close.</t>
  </si>
  <si>
    <t xml:space="preserve">15–20</t>
  </si>
  <si>
    <t xml:space="preserve">Walk around it, step back.</t>
  </si>
  <si>
    <t xml:space="preserve">20–24</t>
  </si>
  <si>
    <t xml:space="preserve">"Envoyer": the WhatsApp message lands with the full spec.</t>
  </si>
  <si>
    <t xml:space="preserve">24–25</t>
  </si>
  <si>
    <t xml:space="preserve">End card.</t>
  </si>
  <si>
    <t xml:space="preserve">Menuisiers : demandez votre lien</t>
  </si>
  <si>
    <t xml:space="preserve">Shot by shot (30s)</t>
  </si>
  <si>
    <t xml:space="preserve">Hook + timer starts at 0:00</t>
  </si>
  <si>
    <t xml:space="preserve">Choose the product</t>
  </si>
  <si>
    <t xml:space="preserve">Enter size (4,20 × 6,00 m)</t>
  </si>
  <si>
    <t xml:space="preserve">9–12</t>
  </si>
  <si>
    <t xml:space="preserve">Pick the colour</t>
  </si>
  <si>
    <t xml:space="preserve">Blades</t>
  </si>
  <si>
    <t xml:space="preserve">15–18</t>
  </si>
  <si>
    <t xml:space="preserve">LED</t>
  </si>
  <si>
    <t xml:space="preserve">View in AR</t>
  </si>
  <si>
    <t xml:space="preserve">Send</t>
  </si>
  <si>
    <t xml:space="preserve">27–30</t>
  </si>
  <si>
    <t xml:space="preserve">Timer stops at 0:29; the WhatsApp message shows. Your site's example: 4,20 × 6,00 m, RAL 7016, 28 lames, LED</t>
  </si>
  <si>
    <t xml:space="preserve">Shot by shot (20–30s)</t>
  </si>
  <si>
    <t xml:space="preserve">The client looks at a brochure.</t>
  </si>
  <si>
    <t xml:space="preserve">Quand le client hésite…</t>
  </si>
  <si>
    <t xml:space="preserve">2–8</t>
  </si>
  <si>
    <t xml:space="preserve">The menuisier hands him a phone.</t>
  </si>
  <si>
    <t xml:space="preserve">8–15</t>
  </si>
  <si>
    <t xml:space="preserve">The client sees the product at real size in his home.</t>
  </si>
  <si>
    <t xml:space="preserve">15–22</t>
  </si>
  <si>
    <t xml:space="preserve">The reaction.</t>
  </si>
  <si>
    <t xml:space="preserve">22–28</t>
  </si>
  <si>
    <t xml:space="preserve">The WhatsApp request arrives on the menuisier's phone.</t>
  </si>
  <si>
    <t xml:space="preserve">Menuisier : demandez le même outil</t>
  </si>
  <si>
    <t xml:space="preserve">Shot by shot (10–12s). Start on the hidden state so the video loops</t>
  </si>
  <si>
    <t xml:space="preserve">An empty wall.</t>
  </si>
  <si>
    <t xml:space="preserve">Où est la fenêtre ?</t>
  </si>
  <si>
    <t xml:space="preserve">The leaf slides out, slowly and smoothly.</t>
  </si>
  <si>
    <t xml:space="preserve">7–10</t>
  </si>
  <si>
    <t xml:space="preserve">It slides back into the wall.</t>
  </si>
  <si>
    <t xml:space="preserve">10–12</t>
  </si>
  <si>
    <t xml:space="preserve">Hidden again (= the first frame).</t>
  </si>
  <si>
    <t xml:space="preserve">A ruler on the central section reads 42 mm.</t>
  </si>
  <si>
    <t xml:space="preserve">42 mm</t>
  </si>
  <si>
    <t xml:space="preserve">The leaf slides, and the thin line stands out against the light.</t>
  </si>
  <si>
    <t xml:space="preserve">Next to a finger, for scale.</t>
  </si>
  <si>
    <t xml:space="preserve">Le plus fin</t>
  </si>
  <si>
    <t xml:space="preserve">Back to the ruler.</t>
  </si>
  <si>
    <t xml:space="preserve">Version A (recommended, safe): the equivalence</t>
  </si>
  <si>
    <t xml:space="preserve">A scale at 0.</t>
  </si>
  <si>
    <t xml:space="preserve">400 kg = ?</t>
  </si>
  <si>
    <t xml:space="preserve">Sacks stacked one at a time, with a running counter: 50, 100, … 400 kg (8 sacks of 50 kg; check your scale).</t>
  </si>
  <si>
    <t xml:space="preserve">10–14</t>
  </si>
  <si>
    <t xml:space="preserve">Cut to the S110P profile or roller.</t>
  </si>
  <si>
    <t xml:space="preserve">S110P : 400 kg max par vantail</t>
  </si>
  <si>
    <t xml:space="preserve">14–17</t>
  </si>
  <si>
    <t xml:space="preserve">End.</t>
  </si>
  <si>
    <t xml:space="preserve">Valeurs max, voir fiche technique</t>
  </si>
  <si>
    <t xml:space="preserve">Shot by shot (7s)</t>
  </si>
  <si>
    <t xml:space="preserve">A finger runs along the handle groove (3-word text: Poignée intégrée).</t>
  </si>
  <si>
    <t xml:space="preserve">1.5–3.5</t>
  </si>
  <si>
    <t xml:space="preserve">The door opens to a lit interior.</t>
  </si>
  <si>
    <t xml:space="preserve">3.5–5.5</t>
  </si>
  <si>
    <t xml:space="preserve">A second door in another finish.</t>
  </si>
  <si>
    <t xml:space="preserve">5.5–7</t>
  </si>
  <si>
    <t xml:space="preserve">The door closes (the loop).</t>
  </si>
  <si>
    <t xml:space="preserve">Shot by shot (13s)</t>
  </si>
  <si>
    <t xml:space="preserve">Three tiles.</t>
  </si>
  <si>
    <t xml:space="preserve">Bicolore, effet bois ou anodisé ?</t>
  </si>
  <si>
    <t xml:space="preserve">Each finish for ~2.5s in close-up, light moving across.</t>
  </si>
  <si>
    <t xml:space="preserve">1 · 2 · 3</t>
  </si>
  <si>
    <t xml:space="preserve">Vote card.</t>
  </si>
  <si>
    <t xml:space="preserve">Vote 1 / 2 / 3 👇</t>
  </si>
  <si>
    <t xml:space="preserve">Script (15s, Darija, French subtitles)</t>
  </si>
  <si>
    <t xml:space="preserve">0–3</t>
  </si>
  <si>
    <t xml:space="preserve">Client: بغيت غير coulissant صغير (text: Le client : « un petit coulissant »)</t>
  </si>
  <si>
    <t xml:space="preserve">3–6</t>
  </si>
  <si>
    <t xml:space="preserve">Menuisier: شحال؟</t>
  </si>
  <si>
    <t xml:space="preserve">6–9</t>
  </si>
  <si>
    <t xml:space="preserve">Client opens his arms: غير 4 متر…</t>
  </si>
  <si>
    <t xml:space="preserve">Menuisier measures, looks at the camera. A beat.</t>
  </si>
  <si>
    <t xml:space="preserve">Menuisier: هادي ماشي نافذة… هادي S110P. (text: Le client qui dit « petit »)</t>
  </si>
  <si>
    <t xml:space="preserve">Script (15–20s)</t>
  </si>
  <si>
    <t xml:space="preserve">L'aluminium rouille ? (a sample in hand)</t>
  </si>
  <si>
    <t xml:space="preserve">2–4</t>
  </si>
  <si>
    <t xml:space="preserve">Non.</t>
  </si>
  <si>
    <t xml:space="preserve">4–9</t>
  </si>
  <si>
    <t xml:space="preserve">It forms a thin protective oxide layer.</t>
  </si>
  <si>
    <t xml:space="preserve">9–14</t>
  </si>
  <si>
    <t xml:space="preserve">Surface treatment (thermolaquage or anodisation) protects it over time.</t>
  </si>
  <si>
    <t xml:space="preserve">14–18</t>
  </si>
  <si>
    <t xml:space="preserve">One caveat: aluminium conducts heat, which is why a thermal break matters on windows.</t>
  </si>
  <si>
    <t xml:space="preserve">18–20</t>
  </si>
  <si>
    <t xml:space="preserve">Partie 2 : c'est quoi la rupture de pont thermique ?</t>
  </si>
  <si>
    <t xml:space="preserve">Shot by shot (20–22s)</t>
  </si>
  <si>
    <t xml:space="preserve">The showroom door opens.</t>
  </si>
  <si>
    <t xml:space="preserve">Touche avant de commander / جرّب بيدك قبل ما تطلب</t>
  </si>
  <si>
    <t xml:space="preserve">A hand slides a leaf on a display system.</t>
  </si>
  <si>
    <t xml:space="preserve">6–11</t>
  </si>
  <si>
    <t xml:space="preserve">Two profiles compared in hand.</t>
  </si>
  <si>
    <t xml:space="preserve">11–16</t>
  </si>
  <si>
    <t xml:space="preserve">Colour swatches.</t>
  </si>
  <si>
    <t xml:space="preserve">Outside.</t>
  </si>
  <si>
    <t xml:space="preserve">Route d'El Menzel, Sefrou · Lun–Sam 9h–19h</t>
  </si>
  <si>
    <t xml:space="preserve">20–22</t>
  </si>
  <si>
    <t xml:space="preserve">Walk out.</t>
  </si>
  <si>
    <t xml:space="preserve">Shot by shot (15–30s)</t>
  </si>
  <si>
    <t xml:space="preserve">The comment bubble.</t>
  </si>
  <si>
    <t xml:space="preserve">2–20</t>
  </si>
  <si>
    <t xml:space="preserve">Your answer at the counter with one prop.</t>
  </si>
  <si>
    <t xml:space="preserve">20–25</t>
  </si>
  <si>
    <t xml:space="preserve">Une autre question ? Commente 👇</t>
  </si>
  <si>
    <t xml:space="preserve">Details</t>
  </si>
  <si>
    <t xml:space="preserve">A. Proven for you: stock, trucks, colours (start here)</t>
  </si>
  <si>
    <t xml:space="preserve">"Ce camion part pour …"</t>
  </si>
  <si>
    <t xml:space="preserve">(the 14.7K format)</t>
  </si>
  <si>
    <t xml:space="preserve">Film: a loaded truck leaving, with the destination city as on-screen text. 10–16s, no talking, phone number overlaid.
Hook text: "Ce camion part pour Meknès ce matin" / هاد الكاميو غادي لمكناس دابا
Make it a weekly series with a new city every time. Each video targets a local audience (#meknes, #taza, #oujda) and shows the "delivery across Morocco" promise.</t>
  </si>
  <si>
    <t xml:space="preserve">"Toutes les teintes en stock"</t>
  </si>
  <si>
    <t xml:space="preserve">(the 8K format, upgraded)</t>
  </si>
  <si>
    <t xml:space="preserve">Film: a smooth walk down the aisle, with each colour appearing as an on-screen label (noir, gris naturel, fauxbois, blanc 9010, gris platine, gris givré). 15–22s.
Upgrade: end with the same profile in three colours side by side.
Hook: "Même profil, 6 teintes. Laquelle choisit ton client ?" / نفس البروفيل، 6 ألوان. أي واحد غادي يختار الكليان؟</t>
  </si>
  <si>
    <t xml:space="preserve">Film: a delivery from STRUGAL being unloaded or a fresh bundle being opened. Satisfying, no talking. 8–12s.
Hook: "Nouvel arrivage S88RP" / وصلنا S88RP</t>
  </si>
  <si>
    <t xml:space="preserve">B. Proven for you: the counter tip series (most saves, shares and comments)</t>
  </si>
  <si>
    <t xml:space="preserve">"Le truc que tout menuisier devrait savoir"</t>
  </si>
  <si>
    <t xml:space="preserve">Film: the presenter at the counter holds one profile and one part, shows one fix, under 30s. Same camera, same set, every time, so the audience learns to recognise it.
Hook: "Une astuce de 20 secondes qui évite les retours de chantier" / حيلة د 20 ثانية كتحميك من المشاكل فالورش
Topics that fit your range (verify each): dust protection on the flat lock (follow-up to your best tip), where the thermal break sits, glazing thickness limits per system, wheel adjustment on a lift-and-slide, drainage at the bottom rail.
Ask a question at the end ("Et toi, tu fais comment ?") to lift comments. Your comment counts are 1–11.</t>
  </si>
  <si>
    <t xml:space="preserve">"Comparer en main": S70P vs S90RP</t>
  </si>
  <si>
    <t xml:space="preserve">Film: hold two profiles side by side, point at the thermal barrier. Your site says "comparer en main… apprend en deux minutes ce qu'un catalogue met une heure à expliquer", so film exactly that. 20–30s.
Hook: "Où est la rupture de pont thermique ?" / فين كاينة قطعة العزل الحراري؟</t>
  </si>
  <si>
    <t xml:space="preserve">Quiz: "Combien de kg ?"</t>
  </si>
  <si>
    <t xml:space="preserve">Film: a profile close-up, text "S70P, S90RP, S88RP, S110P: lequel porte 400 kg par vantail ?" Reveal at the end. Your site lists: S70P 80 kg, S86RP 140 kg, S90P/S90RP 160 kg, S88 200–300 kg, S110P 400 kg.
Comment-bait with a built-in answer. Pin a comment with the full list.
Hook: "Quel profil porte le plus lourd vantail ?" / شمن بروفيل كيحمل أتقل ضلفة؟</t>
  </si>
  <si>
    <t xml:space="preserve">C. Your unique asset: the 3D/AR tool (nobody else shows this)</t>
  </si>
  <si>
    <t xml:space="preserve">Screen-record on a phone: someone points the camera at a terrace, a pergola appears at 4.20 × 6.00 m, rotates, changes colour. 15–25s. A before/after split with the empty terrace works well.
Hook: "Ton client n'arrive pas à se projeter ? Voilà la solution" / الكليان ما قادرش يتخيل؟ شوف هاد الحل
CTA: "Menuisiers : demandez votre lien" (it's reserved for professional clients, which creates exclusivity).</t>
  </si>
  <si>
    <t xml:space="preserve">Speed-run: "Une pergola configurée en 30 secondes"</t>
  </si>
  <si>
    <t xml:space="preserve">Screen recording with a visible timer. Colour, size, blades, LED. End with the WhatsApp message arriving, which shows the full quote request landing.</t>
  </si>
  <si>
    <t xml:space="preserve">Menuisier case studies</t>
  </si>
  <si>
    <t xml:space="preserve">Invite 3 workshop customers to use their personal link and film themselves with a client. Post it, tag them. They'll repost to their own audience, which is also marketing for you.</t>
  </si>
  <si>
    <t xml:space="preserve">D. The viral "one clever mechanism" format, on your systems</t>
  </si>
  <si>
    <t xml:space="preserve">"Disparaît dans le mur"</t>
  </si>
  <si>
    <t xml:space="preserve">(S88RP with galandage)</t>
  </si>
  <si>
    <t xml:space="preserve">8–12s: the sliding leaf slides fully into the wall. No talking. This is the format that got 1.8M to 9M for others.
Hook: "La fenêtre qui disparaît" / الشباك لي كيتخبى فالحيط</t>
  </si>
  <si>
    <t xml:space="preserve">"Le plus fin du catalogue"</t>
  </si>
  <si>
    <t xml:space="preserve">(S86RP, 42 mm at the centre)</t>
  </si>
  <si>
    <t xml:space="preserve">Close-up of the thin sightline with a bright view behind. 8–10s.</t>
  </si>
  <si>
    <t xml:space="preserve">(S110P)</t>
  </si>
  <si>
    <t xml:space="preserve">Safe, supervised weight test on a mock-up. 15–20s. Check the system sheet and use proper safety. Spectacle plus spec.</t>
  </si>
  <si>
    <t xml:space="preserve">"Meneau de 25 mm"</t>
  </si>
  <si>
    <t xml:space="preserve">(S140RP Infinity)</t>
  </si>
  <si>
    <t xml:space="preserve">The lift-and-slide on a big opening, the slim centre post. 10s.</t>
  </si>
  <si>
    <t xml:space="preserve">E. Kitchens and dressings (the biggest audience on Moroccan TikTok)</t>
  </si>
  <si>
    <t xml:space="preserve">"Poignée intégrée" silent reveal</t>
  </si>
  <si>
    <t xml:space="preserve">5–10s of a kitchen door opening with the integrated-handle profile. Copy @proalumad's rhythm: no talking, Arabic category hashtags. It's your agencement range, and kitchen fabricators are your customers, so the people who watch are also the people who buy.
Tags: #مطابخ_حديثة_المنيوم #cuisinealuminium + city.</t>
  </si>
  <si>
    <t xml:space="preserve">Dressing on request</t>
  </si>
  <si>
    <t xml:space="preserve">One profile, three finishes (bicolour, wood effect, anodised). 10–15s.</t>
  </si>
  <si>
    <t xml:space="preserve">F. Education that gets saved (also for Instagram carousels)</t>
  </si>
  <si>
    <t xml:space="preserve">Carousel: "Coulissant ou battant ? Le tableau en 6 lignes"</t>
  </si>
  <si>
    <t xml:space="preserve">(from your guide)</t>
  </si>
  <si>
    <t xml:space="preserve">Carousel: "La rupture de pont thermique en 5 slides"</t>
  </si>
  <si>
    <t xml:space="preserve">with a cross-section showing the barrier</t>
  </si>
  <si>
    <t xml:space="preserve">Carousel: "Les 11 coulissants STRUGAL en une image"</t>
  </si>
  <si>
    <t xml:space="preserve">, a cheat-sheet people screenshot. Poids max, vitrage, Uw, usage.</t>
  </si>
  <si>
    <t xml:space="preserve">Carousel: "Comment commander en 4 étapes"</t>
  </si>
  <si>
    <t xml:space="preserve">(describe, quote, validate, pick up or delivery)</t>
  </si>
  <si>
    <t xml:space="preserve">Myth-busting video/carousel</t>
  </si>
  <si>
    <t xml:space="preserve">"L'aluminium rouille ?" (no), "Pourquoi une rupture de pont thermique ?", "Barre ou mètre ?" All from your FAQ and exterior page.</t>
  </si>
  <si>
    <t xml:space="preserve">G. Price and ordering (the format with the best save rate)</t>
  </si>
  <si>
    <t xml:space="preserve">"Ce qui fait varier le prix d'un profilé"</t>
  </si>
  <si>
    <t xml:space="preserve">Your FAQ names four things: reference, quantity, finish, destination. 4 slides or a 20s video, one factor per beat.
Hook: "Pourquoi deux devis de profilés sont si différents" / علاش جوج د الأثمنة د البروفيلي مختلفين؟
Whether to publish actual prices is your call. The fallback above needs none.</t>
  </si>
  <si>
    <t xml:space="preserve">H. Relatable and local (untested here; try 3–4 and keep what works)</t>
  </si>
  <si>
    <t xml:space="preserve">Menuisier skit</t>
  </si>
  <si>
    <t xml:space="preserve">"Le client veut un 'petit coulissant', il mesure 4 mètres." Darija humour, 15s.</t>
  </si>
  <si>
    <t xml:space="preserve">"Retrait en 5 minutes"</t>
  </si>
  <si>
    <t xml:space="preserve">a workshop owner arrives, loads up, leaves. Shows your speed.</t>
  </si>
  <si>
    <t xml:space="preserve">"Un matin à Sefrou"</t>
  </si>
  <si>
    <t xml:space="preserve">the showroom opening, light through the profiles. Soft brand content, but filmed rather than animated.</t>
  </si>
  <si>
    <t xml:space="preserve">Reply videos</t>
  </si>
  <si>
    <t xml:space="preserve">answer a comment on camera. They cost little and they signal activity.</t>
  </si>
  <si>
    <t xml:space="preserve">Introduction</t>
  </si>
  <si>
    <t xml:space="preserve">Ranked by how directly your own data or the niche data supports them. Hooks are drafts in French and Darija; adapt them to how you actually speak. Technical claims should be double-checked against STRUGAL's sheets before you film. Spec numbers below come from your own site.</t>
  </si>
  <si>
    <t xml:space="preserve">Instagram is not data-backed here (see section 0), but the same content works as saveable carousels, and your site already has the research:</t>
  </si>
  <si>
    <t xml:space="preserve">Six-week posting calendar (starts Monday 26 Oct 2026)</t>
  </si>
  <si>
    <t xml:space="preserve">Four posts a week; one shoot session can produce 3–4 videos (table below). Pick a status for each row; idea name, pillar and shoot session come from the '20 Ideas' sheet.</t>
  </si>
  <si>
    <t xml:space="preserve">Posted:</t>
  </si>
  <si>
    <t xml:space="preserve">of</t>
  </si>
  <si>
    <t xml:space="preserve">Week</t>
  </si>
  <si>
    <t xml:space="preserve">Date</t>
  </si>
  <si>
    <t xml:space="preserve">Day</t>
  </si>
  <si>
    <t xml:space="preserve">Idea #</t>
  </si>
  <si>
    <t xml:space="preserve">Status</t>
  </si>
  <si>
    <t xml:space="preserve">Posted URL</t>
  </si>
  <si>
    <t xml:space="preserve">Notes</t>
  </si>
  <si>
    <t xml:space="preserve">Planned</t>
  </si>
  <si>
    <t xml:space="preserve">New city</t>
  </si>
  <si>
    <t xml:space="preserve">Needs a galandage sample or a customer installation. Swap in #4 if you have neither.</t>
  </si>
  <si>
    <t xml:space="preserve">Tip #2</t>
  </si>
  <si>
    <t xml:space="preserve">Needs 3 customer workshops and written permission</t>
  </si>
  <si>
    <t xml:space="preserve">Tip #3</t>
  </si>
  <si>
    <t xml:space="preserve">Results video the next day</t>
  </si>
  <si>
    <t xml:space="preserve">Or #14 once a safe rig is validated</t>
  </si>
  <si>
    <t xml:space="preserve">Shoot sessions (from the 20-ideas file)</t>
  </si>
  <si>
    <t xml:space="preserve">Session</t>
  </si>
  <si>
    <t xml:space="preserve">Videos</t>
  </si>
  <si>
    <t xml:space="preserve">Half a day</t>
  </si>
  <si>
    <t xml:space="preserve">#1 (3 cities' worth), #2, #3, #4, #12, #13</t>
  </si>
  <si>
    <t xml:space="preserve">#5 (3 tips), #6, #7, #8, #19, #20</t>
  </si>
  <si>
    <t xml:space="preserve">1 hour</t>
  </si>
  <si>
    <t xml:space="preserve">#9, #10</t>
  </si>
  <si>
    <t xml:space="preserve">Kitchen/dressing</t>
  </si>
  <si>
    <t xml:space="preserve">#15, #16</t>
  </si>
  <si>
    <t xml:space="preserve">Ask a favour</t>
  </si>
  <si>
    <t xml:space="preserve">When ready</t>
  </si>
  <si>
    <t xml:space="preserve">#11 with 3 customer workshops</t>
  </si>
  <si>
    <t xml:space="preserve">#14 (needs a safe rig), #17, #18</t>
  </si>
  <si>
    <t xml:space="preserve">First four weeks</t>
  </si>
  <si>
    <t xml:space="preserve">Post 3–4 a week. Start with #1, #5, #2 and #9, because the first three come from your own best results and #9 is the only idea nobody else has. After four weeks, check which pillar had the best shares per 1,000 views and post more of that.</t>
  </si>
  <si>
    <t xml:space="preserve">The number that matters is WhatsApp enquiries that say they came from social, not views.</t>
  </si>
  <si>
    <t xml:space="preserve">30-day plan (from the strategy report, section 7)</t>
  </si>
  <si>
    <t xml:space="preserve">This is the first plan I gave you. The Calendar sheet has the later six-week version built from the 20 ideas.</t>
  </si>
  <si>
    <t xml:space="preserve">Rhythm: 4 videos a week (3 minimum), all 9:16, filmed, no more than one animated piece a week.</t>
  </si>
  <si>
    <t xml:space="preserve">Mon</t>
  </si>
  <si>
    <t xml:space="preserve">Wed</t>
  </si>
  <si>
    <t xml:space="preserve">Fri</t>
  </si>
  <si>
    <t xml:space="preserve">Sat/Sun</t>
  </si>
  <si>
    <t xml:space="preserve">1</t>
  </si>
  <si>
    <t xml:space="preserve">#1 truck to Meknès</t>
  </si>
  <si>
    <t xml:space="preserve">#4 dust-fix follow-up</t>
  </si>
  <si>
    <t xml:space="preserve">#2 colours in stock</t>
  </si>
  <si>
    <t xml:space="preserve">#14 handle-profile reveal</t>
  </si>
  <si>
    <t xml:space="preserve">2</t>
  </si>
  <si>
    <t xml:space="preserve">#1 truck (new city)</t>
  </si>
  <si>
    <t xml:space="preserve">#7 AR on a terrace</t>
  </si>
  <si>
    <t xml:space="preserve">#5 S70P vs S90RP</t>
  </si>
  <si>
    <t xml:space="preserve">#10 wall-sliding system</t>
  </si>
  <si>
    <t xml:space="preserve">3</t>
  </si>
  <si>
    <t xml:space="preserve">#6 kg quiz</t>
  </si>
  <si>
    <t xml:space="preserve">#4 tip #2</t>
  </si>
  <si>
    <t xml:space="preserve">#8 pergola speed-run</t>
  </si>
  <si>
    <t xml:space="preserve">4</t>
  </si>
  <si>
    <t xml:space="preserve">#9 menuisier case</t>
  </si>
  <si>
    <t xml:space="preserve">#21 price factors</t>
  </si>
  <si>
    <t xml:space="preserve">#12 weight test</t>
  </si>
  <si>
    <t xml:space="preserve">#3 arrivage</t>
  </si>
  <si>
    <t xml:space="preserve">Every video:</t>
  </si>
  <si>
    <t xml:space="preserve">• Hook in the first 1–2 seconds as on-screen text, in Darija or French.</t>
  </si>
  <si>
    <t xml:space="preserve">• Caption: one short line in Arabic or French plus 3–5 tags (city + category + one Arabic tag). Drop #viral and #fyp.</t>
  </si>
  <si>
    <t xml:space="preserve">• Phone number on the video, not in the caption.</t>
  </si>
  <si>
    <t xml:space="preserve">• Original sound (your top 3 used it).</t>
  </si>
  <si>
    <t xml:space="preserve">• Cross-post to Instagram Reels without the TikTok watermark; turn the tip and education videos into carousels.</t>
  </si>
  <si>
    <t xml:space="preserve">Fix first (this week):</t>
  </si>
  <si>
    <t xml:space="preserve">1. Check the @fesal.aluminium links on prompolu.com and the "Fesal" watermark: point everything to @prompolu or decide on one brand.</t>
  </si>
  <si>
    <t xml:space="preserve">2. Re-export the landscape video, or delete it.</t>
  </si>
  <si>
    <t xml:space="preserve">3. Add a one-line question to your WhatsApp greeting ("Vous nous avez connus par… ?") so you can count enquiries from social.</t>
  </si>
  <si>
    <t xml:space="preserve">4. Put the AR tool access request in your link-in-bio.</t>
  </si>
  <si>
    <t xml:space="preserve">What to measure:</t>
  </si>
  <si>
    <t xml:space="preserve">• WhatsApp enquiries that say they came from TikTok/Instagram: the real number.</t>
  </si>
  <si>
    <t xml:space="preserve">• 3-second hold rate and shares per 1,000 views in TikTok Analytics.</t>
  </si>
  <si>
    <t xml:space="preserve">• Which pillar (stock, tips, AR, mechanism, kitchen) gets the best share rate: double down after 4 weeks.</t>
  </si>
  <si>
    <t xml:space="preserve">Results tracker</t>
  </si>
  <si>
    <t xml:space="preserve">Fill the yellow cells 48 hours after posting. The grey row is an EXAMPLE with made-up numbers: overwrite it.</t>
  </si>
  <si>
    <t xml:space="preserve">Assumptions (blue = editable)</t>
  </si>
  <si>
    <t xml:space="preserve">Your median views</t>
  </si>
  <si>
    <t xml:space="preserve">From 'My TikTok Videos' (median of your 10 videos). Replace with a newer median when you have more posts.</t>
  </si>
  <si>
    <t xml:space="preserve">Sequel threshold (× your median)</t>
  </si>
  <si>
    <t xml:space="preserve">Playbook rule: a video at 3× your median within 48 h earns a sequel within 3 days.</t>
  </si>
  <si>
    <t xml:space="preserve">Benchmark share rate</t>
  </si>
  <si>
    <t xml:space="preserve">Niche sample: typical share rate is 0.2–0.4% of views (see 'Niche Patterns').</t>
  </si>
  <si>
    <t xml:space="preserve">Benchmark save rate</t>
  </si>
  <si>
    <t xml:space="preserve">Niche sample: typical save rate is 0.2–0.4% of views.</t>
  </si>
  <si>
    <t xml:space="preserve">Date posted</t>
  </si>
  <si>
    <t xml:space="preserve">Hook (A/B)</t>
  </si>
  <si>
    <t xml:space="preserve">Views @48h</t>
  </si>
  <si>
    <t xml:space="preserve">WhatsApp enquiries</t>
  </si>
  <si>
    <t xml:space="preserve">Views vs median (×)</t>
  </si>
  <si>
    <t xml:space="preserve">Suggested next step</t>
  </si>
  <si>
    <t xml:space="preserve">A</t>
  </si>
  <si>
    <t xml:space="preserve">TikTok</t>
  </si>
  <si>
    <t xml:space="preserve">Rules that need your judgement (not automated): comments with questions → answer with a reply video (idea #20) the same week; under your median twice in a row → retire that format for a month; WhatsApp enquiries from social is the real score.</t>
  </si>
  <si>
    <t xml:space="preserve">Rules, standards and checklists</t>
  </si>
  <si>
    <t xml:space="preserve">From the playbook (Part 1, Part 4, Part 5), the ideas file and the strategy report. ☐ cells have a ☐/✅ dropdown.</t>
  </si>
  <si>
    <t xml:space="preserve">1.1 What your data says to stop doing</t>
  </si>
  <si>
    <t xml:space="preserve">Habit</t>
  </si>
  <si>
    <t xml:space="preserve">Opening on a logo, a "Hello!" or a blank screen</t>
  </si>
  <si>
    <t xml:space="preserve">Your five animated videos had a median of 312 views (filmed: 4,546). Their cover frames were mostly a logo, "Hello!", or a near-blank canvas.</t>
  </si>
  <si>
    <t xml:space="preserve">Landscape video</t>
  </si>
  <si>
    <t xml:space="preserve">Your 21 Oct video is 1024×576. On a phone it plays as a thin strip.</t>
  </si>
  <si>
    <t xml:space="preserve">Captions like "Retrouvez-nous sur notre site"</t>
  </si>
  <si>
    <t xml:space="preserve">Your two biggest videos had hashtag-only captions. The weak ones used this line.</t>
  </si>
  <si>
    <t xml:space="preserve">A phone number in the caption</t>
  </si>
  <si>
    <t xml:space="preserve">Niche captions with a number: median 4.8K views vs 13.9K without (correlation). Put the number on the video, as your winners did.</t>
  </si>
  <si>
    <t xml:space="preserve">Long gaps</t>
  </si>
  <si>
    <t xml:space="preserve">8 weeks without posting in May–July.</t>
  </si>
  <si>
    <t xml:space="preserve">1.2 The seven viral triggers (each video should hit at least two)</t>
  </si>
  <si>
    <t xml:space="preserve">1. Instant hook: the first frame already shows something interesting, with a few words of text. No greeting, no logo, no "aujourd'hui je vais vous montrer".</t>
  </si>
  <si>
    <t xml:space="preserve">2. Rewatch: a loop (last frame matches the first), a quick sequence people replay to catch, or a quiz where they check the answer.</t>
  </si>
  <si>
    <t xml:space="preserve">3. Share: something a viewer sends to a specific person ("envoie ça à ton menuisier").</t>
  </si>
  <si>
    <t xml:space="preserve">4. Save: a cheat sheet or a template people want to keep.</t>
  </si>
  <si>
    <t xml:space="preserve">5. Comment: a binary choice, a question with a checkable answer, or a "what city next?".</t>
  </si>
  <si>
    <t xml:space="preserve">6. Local: a city name, Darija, a familiar street. In your niche, Arabic captions had about 4× the median reach in Morocco (correlation).</t>
  </si>
  <si>
    <t xml:space="preserve">7. Real: filmed with real hands, real stock, real trucks. This is what your audience already watches.</t>
  </si>
  <si>
    <t xml:space="preserve">TikTok doesn't confirm how it weighs these, but watch time, shares, saves and comments are generally treated as the strongest signals.</t>
  </si>
  <si>
    <t xml:space="preserve">1.3 Production standard</t>
  </si>
  <si>
    <t xml:space="preserve">• Vertical 1080×1920, 30 fps. Use 60–120 fps only for slow-motion shots.</t>
  </si>
  <si>
    <t xml:space="preserve">• Lock focus and exposure (tap and hold) before recording, clean the lens, and use daylight.</t>
  </si>
  <si>
    <t xml:space="preserve">• Steady: a small tripod, or elbows tucked into your body. No digital zoom.</t>
  </si>
  <si>
    <t xml:space="preserve">• Shot length: 1–3 seconds for mechanism clips, 3–5 for explainers. Cut on movement.</t>
  </si>
  <si>
    <t xml:space="preserve">• Text: 7 words or fewer, large, in the middle of the frame. Avoid the top and bottom edges (the app covers them). One font, high contrast.</t>
  </si>
  <si>
    <t xml:space="preserve">• Burned-in subtitles for anything with speech. Many people scroll muted, and TikTok's data for your videos showed no auto-generated captions.</t>
  </si>
  <si>
    <t xml:space="preserve">• Sound: original sound or ambient. Record close to the action. Your top 3 used original sound. (Your two licensed-music videos were also animated, so I can't separate the effects.)</t>
  </si>
  <si>
    <t xml:space="preserve">• Phone number on the video, small, in the upper third.</t>
  </si>
  <si>
    <t xml:space="preserve">• Cover frame: a product shot, not a logo.</t>
  </si>
  <si>
    <t xml:space="preserve">• Keep the edited file from your editing app (no TikTok watermark) so you can upload the same file to Reels.</t>
  </si>
  <si>
    <t xml:space="preserve">1.4 Posting checklist (every video)</t>
  </si>
  <si>
    <t xml:space="preserve">1. Caption: one short line (Arabic or French) with a question when it fits, plus 3–5 tags: a city, a category and one Arabic tag. Drop #viral and #fyp.</t>
  </si>
  <si>
    <t xml:space="preserve">2. Pinned comment with something useful (a list, a template, a question).</t>
  </si>
  <si>
    <t xml:space="preserve">3. First hour: reply to every comment. Turn good questions into reply videos (idea #20).</t>
  </si>
  <si>
    <t xml:space="preserve">4. Reels: same file, hook text in the middle of the frame, product cover, location tag (Fès or Sefrou), caption that ends with a question. Share to Stories. For partner videos, try the Instagram Collab post. (No Instagram data was available, so these are general practice.)</t>
  </si>
  <si>
    <t xml:space="preserve">5. WhatsApp: add a one-line question to your greeting ("Vous nous avez connus par… ?") so you can count enquiries that came from social. That number matters more than views.</t>
  </si>
  <si>
    <t xml:space="preserve">1.5 Benchmarks from the niche sample</t>
  </si>
  <si>
    <t xml:space="preserve">• Typical share rate: 0.2–0.4% of views. Typical save rate: 0.2–0.4%.</t>
  </si>
  <si>
    <t xml:space="preserve">• Your own median: 1,394 views. A video at 3× your median within 48 hours is a signal to make a sequel (see Part 4).</t>
  </si>
  <si>
    <t xml:space="preserve">Rules for every video</t>
  </si>
  <si>
    <t xml:space="preserve">1. Hook text in the first second. Your captions currently say "Retrouvez-nous sur notre site", which gives people no reason to watch.</t>
  </si>
  <si>
    <t xml:space="preserve">2. Phone number on the video, not in the caption (your winners did this; niche captions with numbers did worse).</t>
  </si>
  <si>
    <t xml:space="preserve">3. Caption: one short line (Arabic or French) plus 3–5 tags: a city, a category and one Arabic tag. Drop #viral and #fyp.</t>
  </si>
  <si>
    <t xml:space="preserve">4. Original sound. Your top 3 all used it.</t>
  </si>
  <si>
    <t xml:space="preserve">5. Film it, don't animate it. Your filmed videos have a median of 4,546 views, against 312 for the animated ones.</t>
  </si>
  <si>
    <t xml:space="preserve">Reels versions (nothing below is based on Instagram data, because I couldn't read any)</t>
  </si>
  <si>
    <t xml:space="preserve">• Export a clean file without the TikTok watermark.</t>
  </si>
  <si>
    <t xml:space="preserve">• Keep the hook text in the middle of the frame, away from the top and bottom edges where the Reels interface covers it.</t>
  </si>
  <si>
    <t xml:space="preserve">• Pick a cover frame that shows the product.</t>
  </si>
  <si>
    <t xml:space="preserve">• Tag the location (Fès or Sefrou).</t>
  </si>
  <si>
    <t xml:space="preserve">• End with a question in the caption, because Reels tend to spread by sends and saves.</t>
  </si>
  <si>
    <t xml:space="preserve">Part 4: How to learn from the results</t>
  </si>
  <si>
    <t xml:space="preserve">After 48 hours, compare each video to your own median (1,394 views) and to the niche rates (shares and saves 0.2–0.4%).</t>
  </si>
  <si>
    <t xml:space="preserve">What you see</t>
  </si>
  <si>
    <t xml:space="preserve">What to do</t>
  </si>
  <si>
    <t xml:space="preserve">3× your median</t>
  </si>
  <si>
    <t xml:space="preserve">Make a sequel within 3 days, with the same hook structure and a new subject.</t>
  </si>
  <si>
    <t xml:space="preserve">Low views, high saves</t>
  </si>
  <si>
    <t xml:space="preserve">The idea is good but the hook is weak. Re-post with a new first second.</t>
  </si>
  <si>
    <t xml:space="preserve">High views, low shares</t>
  </si>
  <si>
    <t xml:space="preserve">It entertained but wasn't useful. Add a share prompt ("envoie à ton menuisier").</t>
  </si>
  <si>
    <t xml:space="preserve">Comments with questions</t>
  </si>
  <si>
    <t xml:space="preserve">Answer with a reply video (#20) the same week.</t>
  </si>
  <si>
    <t xml:space="preserve">Under your median, twice in a row</t>
  </si>
  <si>
    <t xml:space="preserve">Retire that format for a month.</t>
  </si>
  <si>
    <t xml:space="preserve">WhatsApp enquiries from social</t>
  </si>
  <si>
    <t xml:space="preserve">This is the real score. Count them every week.</t>
  </si>
  <si>
    <t xml:space="preserve">After four weeks, rank the pillars by shares per 1,000 views and plan the next month around the top two.</t>
  </si>
  <si>
    <t xml:space="preserve">Part 5: What to check before you film</t>
  </si>
  <si>
    <t xml:space="preserve">☐</t>
  </si>
  <si>
    <t xml:space="preserve">Prop and product on hand: galandage S88RP (#12), integrated-handle kitchen (#15), S86RP sample (#13), S110P sample (#14), mosquito net samples (#4).</t>
  </si>
  <si>
    <t xml:space="preserve">The AR link is working on a recent phone (#9, #10).</t>
  </si>
  <si>
    <t xml:space="preserve">Written permission for any customer, workshop, face or address (#11, #15).</t>
  </si>
  <si>
    <t xml:space="preserve">Every spec cross-checked against STRUGAL sheets.</t>
  </si>
  <si>
    <t xml:space="preserve">9:16 export, hook in the first frame, phone number on screen, no logo intro.</t>
  </si>
  <si>
    <t xml:space="preserve">Group</t>
  </si>
  <si>
    <t xml:space="preserve">Video link</t>
  </si>
  <si>
    <t xml:space="preserve">Moroccan videos</t>
  </si>
  <si>
    <t xml:space="preserve">https://www.tiktok.com/@proalumad/video/7075315096817306885</t>
  </si>
  <si>
    <t xml:space="preserve">https://www.tiktok.com/@proalumad/video/7288013328054488326</t>
  </si>
  <si>
    <t xml:space="preserve">https://www.tiktok.com/@proalumad/video/7591110042548538645</t>
  </si>
  <si>
    <t xml:space="preserve">https://www.tiktok.com/@alu.mamoune/video/7323879084658887942</t>
  </si>
  <si>
    <t xml:space="preserve">https://www.tiktok.com/@proalumad/video/7541352573593324808</t>
  </si>
  <si>
    <t xml:space="preserve">@tamarisstores2009</t>
  </si>
  <si>
    <t xml:space="preserve">https://www.tiktok.com/@tamarisstores2009/video/7340389793223724294</t>
  </si>
  <si>
    <t xml:space="preserve">https://www.tiktok.com/@aluminooo/video/7602743628905057557</t>
  </si>
  <si>
    <t xml:space="preserve">https://www.tiktok.com/@alocuisines/video/7288763769570839813</t>
  </si>
  <si>
    <t xml:space="preserve">@oussamahirche</t>
  </si>
  <si>
    <t xml:space="preserve">https://www.tiktok.com/@oussamahirche/video/7655816058258853141</t>
  </si>
  <si>
    <t xml:space="preserve">https://www.tiktok.com/@proalumad/video/7639412122660769045</t>
  </si>
  <si>
    <t xml:space="preserve">https://www.tiktok.com/@alu.mamoune/video/7555038195470093586</t>
  </si>
  <si>
    <t xml:space="preserve">International videos</t>
  </si>
  <si>
    <t xml:space="preserve">https://www.tiktok.com/@chinawindowsdoors/video/7434373688859921672</t>
  </si>
  <si>
    <t xml:space="preserve">https://www.tiktok.com/@omy.window.and.door0/video/7488288149555334446</t>
  </si>
  <si>
    <t xml:space="preserve">https://www.tiktok.com/@windowhome1/video/7347574448490319147</t>
  </si>
  <si>
    <t xml:space="preserve">https://www.tiktok.com/@windowhome1/video/7360507063526608170</t>
  </si>
  <si>
    <t xml:space="preserve">@blinds2go.official</t>
  </si>
  <si>
    <t xml:space="preserve">https://www.tiktok.com/@blinds2go.official/video/7651300960135957782</t>
  </si>
  <si>
    <t xml:space="preserve">https://www.tiktok.com/@chinawindowsdoors/video/7436946128278424850</t>
  </si>
  <si>
    <t xml:space="preserve">Video URL</t>
  </si>
  <si>
    <t xml:space="preserve">Moroccan?</t>
  </si>
  <si>
    <t xml:space="preserve">Caption (160 chars, phones redacted)</t>
  </si>
  <si>
    <t xml:space="preserve">Flag: Arabic caption</t>
  </si>
  <si>
    <t xml:space="preserve">Flag: hashtag-only</t>
  </si>
  <si>
    <t xml:space="preserve">Flag: phone in caption</t>
  </si>
  <si>
    <t xml:space="preserve">Flag: Kitchen / cuisine</t>
  </si>
  <si>
    <t xml:space="preserve">Flag: Mosquito net</t>
  </si>
  <si>
    <t xml:space="preserve">Flag: Sliding / coulissant</t>
  </si>
  <si>
    <t xml:space="preserve">Flag: Pergola / terrace</t>
  </si>
  <si>
    <t xml:space="preserve">Flag: Railing / garde-corps</t>
  </si>
  <si>
    <t xml:space="preserve">Flag: Window / fenêtre</t>
  </si>
  <si>
    <t xml:space="preserve">Flag: Door / porte</t>
  </si>
  <si>
    <t xml:space="preserve">Flag: Dressing / wardrobe</t>
  </si>
  <si>
    <t xml:space="preserve">Flag: Shower</t>
  </si>
  <si>
    <t xml:space="preserve">Flag: Accessories / hardware</t>
  </si>
  <si>
    <t xml:space="preserve">Flag: Facade / vitrine</t>
  </si>
  <si>
    <t xml:space="preserve">Flag: Before / after</t>
  </si>
  <si>
    <t xml:space="preserve">Flag: Price / prix / devis</t>
  </si>
  <si>
    <t xml:space="preserve">chinawindowsdoors</t>
  </si>
  <si>
    <t xml:space="preserve">no</t>
  </si>
  <si>
    <t xml:space="preserve">Easy to install, waterproof,and able to block space. #slidingdoor #slidingdoors #foldingdoor #door #aluminium #alloy #interiordesign #install #tottme #tottmetal</t>
  </si>
  <si>
    <t xml:space="preserve">proalumad</t>
  </si>
  <si>
    <t xml:space="preserve">yes</t>
  </si>
  <si>
    <r>
      <rPr>
        <sz val="10"/>
        <rFont val="Arial"/>
        <family val="0"/>
        <charset val="1"/>
      </rPr>
      <t xml:space="preserve">#cuisinealuminium #fpy</t>
    </r>
    <r>
      <rPr>
        <sz val="10"/>
        <rFont val="WenQuanYi Zen Hei"/>
        <family val="2"/>
      </rPr>
      <t xml:space="preserve">シ </t>
    </r>
    <r>
      <rPr>
        <sz val="10"/>
        <rFont val="Arial"/>
        <family val="0"/>
        <charset val="1"/>
      </rPr>
      <t xml:space="preserve">#bouznika #مطابخ_حديثة_المنيوم #marocaine🇲🇦 #casablanca #proalum #rabat #proalumad</t>
    </r>
  </si>
  <si>
    <t xml:space="preserve">#مطابخ_حديثة_المنيوم #foryoupage #الدار_البيضاء #cuisinealuminium #المغرب🇲🇦تونس🇹🇳الجزائر🇩🇿 #aluminium #rabat #casablanca #proalumad #proalum #mohammedia </t>
  </si>
  <si>
    <t xml:space="preserve">omy.window.and.door0</t>
  </si>
  <si>
    <t xml:space="preserve">China doors and windows yuantou factory#window#Aluminium window#Doors and windows yuantou factory</t>
  </si>
  <si>
    <t xml:space="preserve">windowhome1</t>
  </si>
  <si>
    <t xml:space="preserve">The latest design of the sliding door system PT door has no ground track design and has sliding and flat opening functions.#aluminium #door #ptdoors </t>
  </si>
  <si>
    <t xml:space="preserve">The latest designed sliding door system PT door PD door has no floor rail design and has sliding and flat opening functions.#aluminium #doors </t>
  </si>
  <si>
    <t xml:space="preserve">blinds2go.official</t>
  </si>
  <si>
    <t xml:space="preserve">Sliding doors just got a little smarter 🏡 These no drill blinds are made specifically for aluminium sliding doors, sticking directly to the glass and moving sea</t>
  </si>
  <si>
    <t xml:space="preserve">No need to drill holes,keep warm in winter and insulated in summer.#slidingdoor #slidingdoors #foldingdoor #door #aluminium #alloy #interiordesign #install #tot</t>
  </si>
  <si>
    <t xml:space="preserve">https://www.tiktok.com/@chinawindowsdoors/video/7456647456017616135</t>
  </si>
  <si>
    <t xml:space="preserve">Easy to install,no track required.#slidingdoor #slidingdoors #door #aluminium #alloy #interiordesign #install #home #tottme #tottmetal </t>
  </si>
  <si>
    <t xml:space="preserve">#mohammedia #proalumad #cuisinealuminium #rabat #aluminium </t>
  </si>
  <si>
    <t xml:space="preserve">https://www.tiktok.com/@siddiquealuminumandglass/video/7676841474662714644</t>
  </si>
  <si>
    <t xml:space="preserve">siddiquealuminumandglass</t>
  </si>
  <si>
    <t xml:space="preserve">Telescope sliding door Aluminum telescope sliding door#creatersearchingsight #siddiquealuminiumandglassexperts #telescopsliding #telescop </t>
  </si>
  <si>
    <t xml:space="preserve">alu.mamoune</t>
  </si>
  <si>
    <t xml:space="preserve">#cuisine #cuisniemaroccaine #cuisinemdfmaroc #cuisinetiktok #cuisinealuminium #مطابخ_حديثة_المنيوم #مطابخ_حديثة </t>
  </si>
  <si>
    <t xml:space="preserve">#proalumad #proalum #مطابخ_حديثة_المنيوم #cuisinealuminium #المغرب🇲🇦 </t>
  </si>
  <si>
    <t xml:space="preserve">tamarisstores2009</t>
  </si>
  <si>
    <t xml:space="preserve">#maroc #aluminium #foryou #architecture #viral #explore #déco </t>
  </si>
  <si>
    <t xml:space="preserve">https://www.tiktok.com/@globalmenuiseriealumini0/video/7363368754354326789</t>
  </si>
  <si>
    <t xml:space="preserve">globalmenuiseriealumini0</t>
  </si>
  <si>
    <t xml:space="preserve">#aluminum #TPR #explore #tiktok #travail #تونس🇹🇳 #نوافذ  #fenêtre </t>
  </si>
  <si>
    <t xml:space="preserve">https://www.tiktok.com/@aluminium1973/video/7625335639147597077</t>
  </si>
  <si>
    <t xml:space="preserve">aluminium1973</t>
  </si>
  <si>
    <t xml:space="preserve">installation charnière porte cuisine  #menuiserie aluminium #USA #france #foryoupage #tiktok </t>
  </si>
  <si>
    <t xml:space="preserve">aluminooo</t>
  </si>
  <si>
    <t xml:space="preserve">Cabine de douche, système porte  📍🇲🇦 ☎️ contacte sur WhatsApp 06 67 83 12. 06  #🇲🇦 #douche #salledebain #maroc #tiktok </t>
  </si>
  <si>
    <t xml:space="preserve">https://www.tiktok.com/@moukhtyalu/video/7510704503914581254</t>
  </si>
  <si>
    <t xml:space="preserve">moukhtyalu</t>
  </si>
  <si>
    <t xml:space="preserve">#senegalaise_tik_tok #galsen_tiktok #architecture #entrepreneur #creatorsearchinsights #batiment #menuiseriealuminium #menuiseriemoderne </t>
  </si>
  <si>
    <t xml:space="preserve">https://www.tiktok.com/@auliving_/video/7430667891546049800</t>
  </si>
  <si>
    <t xml:space="preserve">auliving_</t>
  </si>
  <si>
    <t xml:space="preserve">Ketika bikin kamar mandi ini dan agak bingung mau pintu yg buka kedalem atau keluar karena areanya sempit, akhirnya mutusin buat pake pintu geser aja dan ternya</t>
  </si>
  <si>
    <t xml:space="preserve">https://www.tiktok.com/@moukhtyalu/video/7500157486444383493</t>
  </si>
  <si>
    <t xml:space="preserve">#batiment#senegalaise_tik_tok #entrepreneur #menuiseriemoderne #menuiseriealuminium #galsen_tiktok </t>
  </si>
  <si>
    <t xml:space="preserve">https://www.tiktok.com/@lawgu1/video/7562520956921597204</t>
  </si>
  <si>
    <t xml:space="preserve">lawgu1</t>
  </si>
  <si>
    <t xml:space="preserve">slidingdoor/mirror yarn🤩🤩 #crdoor #sliding #slidingdoor #doordesign #trendingdoor </t>
  </si>
  <si>
    <t xml:space="preserve">https://www.tiktok.com/@mj.metalwork/video/7486404461406113079</t>
  </si>
  <si>
    <t xml:space="preserve">mj.metalwork</t>
  </si>
  <si>
    <t xml:space="preserve">PAKE PINTU INI, GAK BAKAL DIINTIP😱‼️ Bayangkan jika punya pintu seperti ini?! Sliding Door aluminium dengan tampilan simpel dan tetap stylish  dengan kaca refle</t>
  </si>
  <si>
    <t xml:space="preserve">https://www.tiktok.com/@tianmailnteriordoors/video/7548087027162451230</t>
  </si>
  <si>
    <t xml:space="preserve">tianmailnteriordoors</t>
  </si>
  <si>
    <t xml:space="preserve">Have you ever seen such a beautiful indoor sliding door?Sliding door#slidingdoor #aluminumfactory #door #sliding #tianmaialuminum </t>
  </si>
  <si>
    <t xml:space="preserve">https://www.tiktok.com/@yuli_brasilita/video/7611830520263068949</t>
  </si>
  <si>
    <t xml:space="preserve">yuli_brasilita</t>
  </si>
  <si>
    <t xml:space="preserve">Membalas @semakin.senja2 yuk samaan #slidingdooraluminium #pintugeseraluminium #pintuslidingdooralumunium #pintukacageser #pintualuminiumgeser </t>
  </si>
  <si>
    <t xml:space="preserve">https://www.tiktok.com/@estudiolfarq/video/7219331951684078854</t>
  </si>
  <si>
    <t xml:space="preserve">estudiolfarq</t>
  </si>
  <si>
    <t xml:space="preserve">Life House Casa Blanca, Marrocos  Design By Estúdio LF . . #casasmodernas #fachadasmodernas #fachadasincriveis #casasdeluxo #casasluxuosas #imoveisdeluxo #luxur</t>
  </si>
  <si>
    <t xml:space="preserve">alocuisines</t>
  </si>
  <si>
    <t xml:space="preserve">مطبخ عصري جديد تحدي جديد فما هو رأيكم ؟؟ #cuisines #Équipées #cuisinesequipees #cuisineséquipées #cuisinemaison  #cuisine #Aluminium #mdfdecorado #cuisines #E</t>
  </si>
  <si>
    <t xml:space="preserve">https://www.tiktok.com/@ho.qunh65/video/7680797918495788295</t>
  </si>
  <si>
    <t xml:space="preserve">ho.qunh65</t>
  </si>
  <si>
    <t xml:space="preserve">Asia’s Largest 20000-Ton Extraction Press Water-Cooled Motor Housing Aluminum Profile #aluminumextrusion #aluminumprofile #motor #industrialaluminum #aluminumma</t>
  </si>
  <si>
    <t xml:space="preserve">oussamahirche</t>
  </si>
  <si>
    <t xml:space="preserve">#مطبخ الامنيوم #كوزينة مغربي🇲🇦#الامنيوم باج #صانع يدوي✅🛠️🏠</t>
  </si>
  <si>
    <t xml:space="preserve">https://www.tiktok.com/@emirahmanresources/video/7397205677506039061</t>
  </si>
  <si>
    <t xml:space="preserve">emirahmanresources</t>
  </si>
  <si>
    <t xml:space="preserve">Pintu pemisah antara ruang tamu dan dapur.. #aluminiumglass #dapurcantik #pintualuminium #slidingdoor </t>
  </si>
  <si>
    <t xml:space="preserve">https://www.tiktok.com/@huajianaluminumgroup/video/7647436745717386526</t>
  </si>
  <si>
    <t xml:space="preserve">huajianaluminumgroup</t>
  </si>
  <si>
    <t xml:space="preserve">For high-quality aluminum profiles, turn to Huajian Aluminum—your direct-source factory. We offer custom profiling capabilities, stable production capacity, and</t>
  </si>
  <si>
    <t xml:space="preserve">#proalumad #cuisinealuminium #bouznika #proalum #المغرب🇲🇦تونس🇹🇳الجزائر🇩🇿 </t>
  </si>
  <si>
    <t xml:space="preserve">https://www.tiktok.com/@zakariaa.haddad/video/7669004080731180306</t>
  </si>
  <si>
    <t xml:space="preserve">zakariaa.haddad</t>
  </si>
  <si>
    <t xml:space="preserve">Villa moderne 3 façades à vendre à El Haddada, Kénitra. Terrain de 450 m² avec 540 m² habitables sur 3 niveaux. Une villa de standing offrant espace, confort et</t>
  </si>
  <si>
    <t xml:space="preserve">https://www.tiktok.com/@qnqhouse/video/7292701970362567942</t>
  </si>
  <si>
    <t xml:space="preserve">qnqhouse</t>
  </si>
  <si>
    <t xml:space="preserve">Sliding door detail ✨ - Ukuran : 300 X 285 cm - Menggunakan material alumunium merk alexindo -  - Menggunakan kaca 5 mm - Terbagi menjadi 4 bagian pintu - pintu</t>
  </si>
  <si>
    <t xml:space="preserve">https://www.tiktok.com/@huajianaluminumprofile/video/7532339422289743159</t>
  </si>
  <si>
    <t xml:space="preserve">huajianaluminumprofile</t>
  </si>
  <si>
    <t xml:space="preserve">#profile #aluminumprofile #aluminummanufacturer #aliminumwindonsanddoors #cncproducts #sunroom #aluminumfactory #alibaba #huajianaluminum #CNC #squaretube #heat</t>
  </si>
  <si>
    <t xml:space="preserve">#الدار_البيضاء #المحمدية #الرباط #سلا #الجديدة #كوزينة #cuisinemodernealuminium #cuisinemdf #برشيد #سطات #cuisinemarocaine #خريبكة #ازمور #مطابخ #خنيفرة_ازرو_مي</t>
  </si>
  <si>
    <t xml:space="preserve">https://www.tiktok.com/@houichisofien/video/7331032097932561670</t>
  </si>
  <si>
    <t xml:space="preserve">houichisofien</t>
  </si>
  <si>
    <t xml:space="preserve">#deco #decoration #decoration_ideas #decoration_ideas #porte #baie_vitrée #coulissant #houichisofien #sofien_houichi #tunisia🇹🇳 #سفيان_حويشي #mezoued #mezwed #t</t>
  </si>
  <si>
    <t xml:space="preserve">https://www.tiktok.com/@arizal_aluminium/video/7525802301802515768</t>
  </si>
  <si>
    <t xml:space="preserve">arizal_aluminium</t>
  </si>
  <si>
    <t xml:space="preserve">Vous subissez les nuisances sonores au quotidien ? À la maison comme au bureau, le confort passe aussi par le silence. Chez ARIZAL, nous proposons des solutions</t>
  </si>
  <si>
    <t xml:space="preserve">https://www.tiktok.com/@malex_home/video/7600832535916039446</t>
  </si>
  <si>
    <t xml:space="preserve">malex_home</t>
  </si>
  <si>
    <t xml:space="preserve">On a fait le choix de baies vitrées coulissantes à galandage. Un système où les fenêtres disparaissent complètement dans les murs, pour ne garder qu’une chose :</t>
  </si>
  <si>
    <t xml:space="preserve">https://www.tiktok.com/@kajobaashraf/video/7698981386421554452</t>
  </si>
  <si>
    <t xml:space="preserve">kajobaashraf</t>
  </si>
  <si>
    <t xml:space="preserve">#fyp #foryou #foryoupage #ugandatiktok #aluminium  @kajobaashraf </t>
  </si>
  <si>
    <t xml:space="preserve">https://www.tiktok.com/@mounir.231/video/7604174417404480786</t>
  </si>
  <si>
    <t xml:space="preserve">mounir.231</t>
  </si>
  <si>
    <t xml:space="preserve">#menuiserie #aluminum #tunisie #تصميم_ديكور #زين_دارك🏠  @Mou Nir </t>
  </si>
  <si>
    <t xml:space="preserve">https://www.tiktok.com/@yehyaaluminium/video/7605670193569746194</t>
  </si>
  <si>
    <t xml:space="preserve">yehyaaluminium</t>
  </si>
  <si>
    <t xml:space="preserve">Est-ce que la cuisine en aluminium est meilleure que la cuisine en bois ? En Côte d’Ivoire, pour éviter la fragilité rapide et les insectes dans votre cuisine, </t>
  </si>
  <si>
    <t xml:space="preserve">https://www.tiktok.com/@aluminium_oujaiou/video/7564512090153585941</t>
  </si>
  <si>
    <t xml:space="preserve">aluminium_oujaiou</t>
  </si>
  <si>
    <t xml:space="preserve">تصميم مطبخ الألمنيوم باللون بيج #aluminum #مطابخ_حديثة #marocaine🇲🇦 #أبواب_داخلية #cuisine </t>
  </si>
  <si>
    <t xml:space="preserve">https://www.tiktok.com/@metalworklh/video/7660893719746448670</t>
  </si>
  <si>
    <t xml:space="preserve">metalworklh</t>
  </si>
  <si>
    <t xml:space="preserve">Indonesia Factory Custom PV Aluminum frame with Certificate of Origin,Vietnam Solar Aluminum Extrusion Frame,Low Tariff Import To Turkey#AluminumProfile #pvalum</t>
  </si>
  <si>
    <t xml:space="preserve">https://www.tiktok.com/@abgslidingdoor/video/7498336019490671890</t>
  </si>
  <si>
    <t xml:space="preserve">abgslidingdoor</t>
  </si>
  <si>
    <t xml:space="preserve">Sliding Hangging Door 🤗😉💚💙 Rm 1600++ #anjangjaya #pakaraluminiumanda #ajslidingdoor #slidingdoor #fy #pintualuminium #temerloh #kitchendoor #renovation #folding</t>
  </si>
  <si>
    <t xml:space="preserve">https://www.tiktok.com/@haixuan_aluminum02/video/7615262818010549522</t>
  </si>
  <si>
    <t xml:space="preserve">haixuan_aluminum02</t>
  </si>
  <si>
    <t xml:space="preserve">Are you also interested in becoming an agent for trackless sliding doors?#aluminum #ghostdoor #slidingdoor #doors #foryou </t>
  </si>
  <si>
    <t xml:space="preserve">https://www.tiktok.com/@siddiquealuminumandglass/video/7655228589725519124</t>
  </si>
  <si>
    <t xml:space="preserve">Telescope sliding door Aluminum folding door#creatorsearchinsights #telescope #trending #siddiquealuminiumandglassexperts #aluminium </t>
  </si>
  <si>
    <t xml:space="preserve">https://www.tiktok.com/@zaki.aluminiumpro/video/7476896291159543046</t>
  </si>
  <si>
    <t xml:space="preserve">zaki.aluminiumpro</t>
  </si>
  <si>
    <t xml:space="preserve">#meniuserie #aluminium #casablanca #morocco🇲🇦 #redcity #cusine #balcon #cusine #placards #maroc🇲🇦 </t>
  </si>
  <si>
    <t xml:space="preserve">https://www.tiktok.com/@mzaluminium/video/7610790520553491733</t>
  </si>
  <si>
    <t xml:space="preserve">mzaluminium</t>
  </si>
  <si>
    <t xml:space="preserve">#AluminiumMorocco #AluminiumWork #MenuiserieAluminium #MZAluminium </t>
  </si>
  <si>
    <t xml:space="preserve">https://www.tiktok.com/@abderrahimrachdi3/video/7652308692381093141</t>
  </si>
  <si>
    <t xml:space="preserve">abderrahimrachdi3</t>
  </si>
  <si>
    <t xml:space="preserve">#aluminium #casablanca #morocco #travaux💪👊🇲🇦</t>
  </si>
  <si>
    <t xml:space="preserve">https://www.tiktok.com/@aluminum.youssef8/video/7681312975394983176</t>
  </si>
  <si>
    <t xml:space="preserve">aluminum.youssef8</t>
  </si>
  <si>
    <t xml:space="preserve">[tel] ☎️❤️‍🔥 . #aluminum #maroc #aluminiumfabrication #aluminium #kitchendesign </t>
  </si>
  <si>
    <t xml:space="preserve">https://www.tiktok.com/@lumora.homee/video/7592615429827317000</t>
  </si>
  <si>
    <t xml:space="preserve">lumora.homee</t>
  </si>
  <si>
    <t xml:space="preserve">Harga sliding aluminiumnya terjangkau tapi kualitasnya bagus  #kusenaluminium #sliding #door #aluminium #creatorsearchinsights </t>
  </si>
  <si>
    <t xml:space="preserve">https://www.tiktok.com/@tottme_engineering/video/7609899087722204446</t>
  </si>
  <si>
    <t xml:space="preserve">tottme_engineering</t>
  </si>
  <si>
    <t xml:space="preserve">Aluminum alloy trackless sliding door. #aluminium #doors  #door #slidingdoor  #tottme</t>
  </si>
  <si>
    <t xml:space="preserve">https://www.tiktok.com/@aluminium_oujaiou/video/7566367003397672212</t>
  </si>
  <si>
    <t xml:space="preserve">Aluminium Oujaiouمعانا الجودة ماشي غير كلام خدمة نقية، تصميم زوين، وتنفيذ على حسب طلبك #مطابخ_حديثة #أبواب_داخلية #cuisine #marocaine🇲🇦 #aluminum </t>
  </si>
  <si>
    <t xml:space="preserve">https://www.tiktok.com/@mandlabuild/video/7698689658825346311</t>
  </si>
  <si>
    <t xml:space="preserve">mandlabuild</t>
  </si>
  <si>
    <t xml:space="preserve">WhatsApp 077 390 9940  Call 071 134 2553  we do full project  contact us when you have a site </t>
  </si>
  <si>
    <t xml:space="preserve">https://www.tiktok.com/@ayoub.aluminium/video/7562646380280401170</t>
  </si>
  <si>
    <t xml:space="preserve">ayoub.aluminium</t>
  </si>
  <si>
    <t xml:space="preserve">مطبخ الألمنيوم جديد باللون البيج#aluminum #مطابخ_حديثة #مطابخ_حديثة_المنيوم #cuisine #المغرب🇲🇦 </t>
  </si>
  <si>
    <t xml:space="preserve">https://www.tiktok.com/@entreprisediaaluminium/video/7637702016172707092</t>
  </si>
  <si>
    <t xml:space="preserve">entreprisediaaluminium</t>
  </si>
  <si>
    <t xml:space="preserve">#meunuiseriealuminiesenegal #entreprisediaaluminiume #portealuminiume#porteblindée #aluminiumeetinox</t>
  </si>
  <si>
    <t xml:space="preserve">https://www.tiktok.com/@zaki.aluminiumpro/video/7512933943448964357</t>
  </si>
  <si>
    <t xml:space="preserve">#menuiserie #aluminium #casablanca #morocco🇲🇦 #redcity #cusine #placards #porte #2025 #شعب_الصيني_ماله_حل😂😂 #عيد_الاضحى مبارك</t>
  </si>
  <si>
    <t xml:space="preserve">https://www.tiktok.com/@inoxaluminiu/video/7641946515828657441</t>
  </si>
  <si>
    <t xml:space="preserve">inoxaluminiu</t>
  </si>
  <si>
    <t xml:space="preserve">Menuiserie Aluminium ak Inox bu bees té moderne fi ci Sénégal 🇸🇳 #aluminiumsenegal #inoxsenegal #kebetu #senegal #artisanatsenegal "</t>
  </si>
  <si>
    <t xml:space="preserve">https://www.tiktok.com/@glassworthbuilders/video/7506872123126779143</t>
  </si>
  <si>
    <t xml:space="preserve">glassworthbuilders</t>
  </si>
  <si>
    <t xml:space="preserve">Matibay na, presko pa! This Aluminum Sliding Door Wood Finish with Screen Door is perfect for you! #aluminumdoor #glassandaluminumworks #funny #alden #meme #sli</t>
  </si>
  <si>
    <t xml:space="preserve">https://www.tiktok.com/@ttm.aluminium/video/7559909405710421256</t>
  </si>
  <si>
    <t xml:space="preserve">ttm.aluminium</t>
  </si>
  <si>
    <t xml:space="preserve">#aluminum barn door sliding </t>
  </si>
  <si>
    <t xml:space="preserve">https://www.tiktok.com/@siddiquealuminumandglass/video/7664256810811002133</t>
  </si>
  <si>
    <t xml:space="preserve">Replying to @actionsqummattiyAluminium sliding folding door sliding door#siddiquealuminiumandglassexperts #creatersearchingsight #slidingdoor</t>
  </si>
  <si>
    <t xml:space="preserve">https://www.tiktok.com/@ar.aluminium4/video/7474649480273349943</t>
  </si>
  <si>
    <t xml:space="preserve">ar.aluminium4</t>
  </si>
  <si>
    <t xml:space="preserve">mauritius  Aluminium doors and  windows </t>
  </si>
  <si>
    <t xml:space="preserve">https://www.tiktok.com/@jldoorsandwindows/video/7453300111435697416</t>
  </si>
  <si>
    <t xml:space="preserve">jldoorsandwindows</t>
  </si>
  <si>
    <t xml:space="preserve">Hidden rail sliding door#Sliding #China #doors #aluminium #Doors China factory</t>
  </si>
  <si>
    <t xml:space="preserve">https://www.tiktok.com/@osmangani060/video/7486962591630396679</t>
  </si>
  <si>
    <t xml:space="preserve">osmangani060</t>
  </si>
  <si>
    <t xml:space="preserve">#🇧🇩❤️🇦🇪 # Aluminium-4-Panel-Sliding-Door-Exterior-Patio-Aluminium-Glass-Sliding-Doors.#sharjah_uae </t>
  </si>
  <si>
    <t xml:space="preserve">https://www.tiktok.com/@illusion.store19/video/7370275803487079685</t>
  </si>
  <si>
    <t xml:space="preserve">illusion.store19</t>
  </si>
  <si>
    <t xml:space="preserve">#pvc #porte #maison #algerie #architecture #setif #aluminum #dzair🇩🇿 #fenetrepvc #portepvc #designinterior #appartement #batiment #dz #portefenetre #portefenetr</t>
  </si>
  <si>
    <t xml:space="preserve">https://www.tiktok.com/@aluminium1973/video/7631292868690234645</t>
  </si>
  <si>
    <t xml:space="preserve">installation charnière profil cuisine  #menuiserie aluminium #france #USA #tiktok #foryoupage </t>
  </si>
  <si>
    <t xml:space="preserve">https://www.tiktok.com/@pro.deco.fermetures/video/7098864066617249029</t>
  </si>
  <si>
    <t xml:space="preserve">pro.deco.fermetures</t>
  </si>
  <si>
    <t xml:space="preserve">Baie coulissante en Aluminium haut de gamme de la marque PROFILS SYSTEM en double vitrage #luxuryimmobilier #batimatec #batiment #confort</t>
  </si>
  <si>
    <t xml:space="preserve">https://www.tiktok.com/@algalplus_extrusion/video/7509946275006057733</t>
  </si>
  <si>
    <t xml:space="preserve">algalplus_extrusion</t>
  </si>
  <si>
    <t xml:space="preserve">#aluminum #fenêtre #porte #portail #alusys ##alusysdz #profilealuminium #dzaluminium #profile #window #algalplus #venteprofile #venteprofilesaccessoire #venteac</t>
  </si>
  <si>
    <t xml:space="preserve">https://www.tiktok.com/@budiluhuraluminium/video/7663023969288883474</t>
  </si>
  <si>
    <t xml:space="preserve">budiluhuraluminium</t>
  </si>
  <si>
    <t xml:space="preserve">Pintu Geser Bath Room‼️ Pintu kamar mandi geser (sliding door) adalah solusi terbaik untuk menghemat ruang pada kamar mandi berukuran minimalis.  Dengan mekanis</t>
  </si>
  <si>
    <t xml:space="preserve">https://www.tiktok.com/@proalumad/video/7632815695285259541</t>
  </si>
  <si>
    <t xml:space="preserve">https://www.tiktok.com/@arizal_aluminium/video/7483953696850677047</t>
  </si>
  <si>
    <t xml:space="preserve">Comprendre la menuiserie aluminium : gammes &amp; vitrages. La menuiserie aluminium, c’est un monde de possibilités ! Deux éléments clés définissent chaque projet :</t>
  </si>
  <si>
    <t xml:space="preserve">https://www.tiktok.com/@jasonjohnsham1/video/7698050561962167559</t>
  </si>
  <si>
    <t xml:space="preserve">jasonjohnsham1</t>
  </si>
  <si>
    <t xml:space="preserve">#tiktok #viral #viralvideo #fyp #foryou </t>
  </si>
  <si>
    <t xml:space="preserve">https://www.tiktok.com/@kajobaashraf/video/7698985673616788756</t>
  </si>
  <si>
    <t xml:space="preserve">https://www.tiktok.com/@cuisinealuminiumzemzem/video/7127410633481456902</t>
  </si>
  <si>
    <t xml:space="preserve">cuisinealuminiumzemzem</t>
  </si>
  <si>
    <t xml:space="preserve">🟩كوزينة السكن الاقتصادي صغيرة ومتيولة🟩للمزيد من المعلومات مطابخ الألمنيوم زمزم تحت تصرفكم للرد على جميع إستفساراتكم☎️Téléphone &amp; Whatsapp : [tel]📨Email : Cuisin</t>
  </si>
  <si>
    <t xml:space="preserve">https://www.tiktok.com/@chinawindowsdoors/video/7662959556271688967</t>
  </si>
  <si>
    <t xml:space="preserve">A garage door that can slide, and the entire panel moves smoothly. You don't need to reserve a spot. #garage #garagedoor #door #outdoor #slidingdoor </t>
  </si>
  <si>
    <t xml:space="preserve">https://www.tiktok.com/@vicky_merpitu/video/7679989268260883720</t>
  </si>
  <si>
    <t xml:space="preserve">vicky_merpitu</t>
  </si>
  <si>
    <t xml:space="preserve">Sliding door 3 daun,testing dulu sebelum anu Rekomendasi buat pintu taman ygy #pintuslidingaluminium #slidingdoor #aluminiumpati #fyp </t>
  </si>
  <si>
    <t xml:space="preserve">https://www.tiktok.com/@ateliers.du.bois.vivant/video/7518171226490014983</t>
  </si>
  <si>
    <t xml:space="preserve">ateliers.du.bois.vivant</t>
  </si>
  <si>
    <t xml:space="preserve">Les ateliers du bois vivant sont aussi spécialisés en menuiserie sur aluminium. Porte, fenêtres et aussi mobiliers. 71170594. #menuiserietogo #togolais228🇹🇬 #me</t>
  </si>
  <si>
    <t xml:space="preserve">https://www.tiktok.com/@zouiniyoussef/video/7546720636924726536</t>
  </si>
  <si>
    <t xml:space="preserve">zouiniyoussef</t>
  </si>
  <si>
    <t xml:space="preserve">#kenitra_morocco #creative #facade #kenitra #art </t>
  </si>
  <si>
    <t xml:space="preserve">https://www.tiktok.com/@tasfawt.travaux/video/7557805030141611272</t>
  </si>
  <si>
    <t xml:space="preserve">tasfawt.travaux</t>
  </si>
  <si>
    <t xml:space="preserve">Une villa où chaque détail compte : Cuisine sur mesure, portes design et aluminium haut de gamme ✨ L’élégance, c’est notre signature 🏠 #villa #menuiserie #maroc</t>
  </si>
  <si>
    <t xml:space="preserve">https://www.tiktok.com/@nurulauliyau/video/7657085091956460821</t>
  </si>
  <si>
    <t xml:space="preserve">nurulauliyau</t>
  </si>
  <si>
    <t xml:space="preserve">Menjawab pertanyaan ukuran pintu sliding dirumahku ya. Semoga bermanfaat ❤️ #pintusliding #slidingdoor #alumunium</t>
  </si>
  <si>
    <t xml:space="preserve">https://www.tiktok.com/@nahdalum/video/7559948546762444040</t>
  </si>
  <si>
    <t xml:space="preserve">nahdalum</t>
  </si>
  <si>
    <t xml:space="preserve">المطبخ لي كيدوي على الخدمة 👌🔥 شوفو الجمال والإتقان 😍 #ألمنيوم_النهضة #مطبخ_راقي #خدمة_متقونة #مطبخ_مغربي #مطابخ_ألمنيوم </t>
  </si>
  <si>
    <t xml:space="preserve">https://www.tiktok.com/@mounir.231/video/7598977215052762379</t>
  </si>
  <si>
    <t xml:space="preserve">#menuiserie #aluminum #tunisie #تصميم_ديكور #زين_دارك🏠  @MOUNIR </t>
  </si>
  <si>
    <t xml:space="preserve">https://www.tiktok.com/@alu.mamoune/video/7627818129695362324</t>
  </si>
  <si>
    <t xml:space="preserve">#الدار_البيضاء #المحمدية #الرباط #سلا #الجديدة #خريبكة #خنيفرة_ازرو_ميدلت_بني_ملال_الحاجب #cuisine #cuisinemodernealuminium #cuisinemoderne #برشيد #كوزينة_مطبخي</t>
  </si>
  <si>
    <t xml:space="preserve">https://www.tiktok.com/@expertalupro/video/7598989579886021921</t>
  </si>
  <si>
    <t xml:space="preserve">expertalupro</t>
  </si>
  <si>
    <t xml:space="preserve">La réactivité fait partie de notre engagement. Produire vite, oui. Mais surtout produire bien. 📞 01 78 77 26 26 #ExpertAlu #MenuiserieAluminium #FabricationRapi</t>
  </si>
  <si>
    <t xml:space="preserve">https://www.tiktok.com/@jaouadmachachi/video/6987418058356690182</t>
  </si>
  <si>
    <t xml:space="preserve">jaouadmachachi</t>
  </si>
  <si>
    <t xml:space="preserve">#placo #doublage #isolation #thermique #thermique #acoustique</t>
  </si>
  <si>
    <t xml:space="preserve">https://www.tiktok.com/@aluminooo/video/7147370993592421637</t>
  </si>
  <si>
    <t xml:space="preserve">cuisine aluminium #cuisine#mobile #kenitra #doche #morocco🇲🇦المغاربة #مطبخ #مطابخ_حديثة_المنيوم </t>
  </si>
  <si>
    <t xml:space="preserve">https://www.tiktok.com/@zaki.aluminiumpro/video/7466106265807211782</t>
  </si>
  <si>
    <t xml:space="preserve">#meniuserie #aluminium #casablanca #morocco🇲🇦 #redcity #placards #dicoration #cusine #casablanca #maroc🇲🇦 </t>
  </si>
  <si>
    <t xml:space="preserve">https://www.tiktok.com/@aluminum_profile_factory/video/7581321785237359903</t>
  </si>
  <si>
    <t xml:space="preserve">aluminum_profile_factory</t>
  </si>
  <si>
    <t xml:space="preserve">🎈🏭Aluminum profile OEM/ODM manufacturer, #aluminumOEM #aluminumODM #aluminumfactory #aluminumprofile #aluminummanufacturer #aluminumdoorsandwindows #chinaalumin</t>
  </si>
  <si>
    <t xml:space="preserve">https://www.tiktok.com/@climconfort.pro/video/7597751639868656918</t>
  </si>
  <si>
    <t xml:space="preserve">climconfort.pro</t>
  </si>
  <si>
    <t xml:space="preserve">Passage de liassions frigorifique derrière une baie vitrée coulissante #climatisation #installationclim #plombier</t>
  </si>
  <si>
    <t xml:space="preserve">https://www.tiktok.com/@spesialis.las.aluminium/video/7592915772163640583</t>
  </si>
  <si>
    <t xml:space="preserve">spesialis.las.aluminium</t>
  </si>
  <si>
    <t xml:space="preserve">spill pintu aluminium minimalis yang simple dan elegant 😘 WA : 0859 5512 3083 #aluminiumponorogo #pintualumunium </t>
  </si>
  <si>
    <t xml:space="preserve">https://www.tiktok.com/@mdinox9/video/7657184299719953682</t>
  </si>
  <si>
    <t xml:space="preserve">mdinox9</t>
  </si>
  <si>
    <t xml:space="preserve">#inox #aluminum #dicoration #morocco🇲🇦 #aluminum </t>
  </si>
  <si>
    <t xml:space="preserve">https://www.tiktok.com/@chantier.11/video/7342564443802324256</t>
  </si>
  <si>
    <t xml:space="preserve">chantier.11</t>
  </si>
  <si>
    <t xml:space="preserve">Pose de baies vitrées coulissantes en aluminium #Castelreng #Limoux #carcassonne #France #maçonnerie #travaux #menuiserie </t>
  </si>
  <si>
    <t xml:space="preserve">https://www.tiktok.com/@m_z.alu/video/7597428037759651083</t>
  </si>
  <si>
    <t xml:space="preserve">m_z.alu</t>
  </si>
  <si>
    <t xml:space="preserve">Fenêtre coulissante en aluminium ✨ Design moderne, gain d’espace et excellente aération 🌬️ Robuste, élégante et facile à utiliser, elle apporte lumière et confo</t>
  </si>
  <si>
    <t xml:space="preserve">https://www.tiktok.com/@said__er1/video/7653850710609628423</t>
  </si>
  <si>
    <t xml:space="preserve">said__er1</t>
  </si>
  <si>
    <t xml:space="preserve">Part 1✅#explore #fyp #aluminum #maroc #alucobond </t>
  </si>
  <si>
    <t xml:space="preserve">https://www.tiktok.com/@cuisin_aluminum_officiel/video/7663192364596530439</t>
  </si>
  <si>
    <t xml:space="preserve">cuisin_aluminum_officiel</t>
  </si>
  <si>
    <t xml:space="preserve">Cuisine aluminum RM #cuisine #cuisinetiktok #مطابخ #مطبخي #الدار_البيضاء </t>
  </si>
  <si>
    <t xml:space="preserve">https://www.tiktok.com/@ayoub.aluminium/video/7630921780634422536</t>
  </si>
  <si>
    <t xml:space="preserve">جديد ابواب الألمنيوم ✨#ابواب_داخلية #boruto #aluminium #maroco🇲🇦 #cuisine </t>
  </si>
  <si>
    <t xml:space="preserve">https://www.tiktok.com/@enzadeco69/video/7602294039433448726</t>
  </si>
  <si>
    <t xml:space="preserve">enzadeco69</t>
  </si>
  <si>
    <t xml:space="preserve">Vous cherchez un garde-corps moderne, élégant et ultra résistant ? 👉 Ne cherchez plus. ✨ Sur mesure ✨ Poteaux + verre inclus ✨ Aluminium 100 % – robuste &amp; durab</t>
  </si>
  <si>
    <t xml:space="preserve">https://www.tiktok.com/@aluminum_profile_factory/video/7606209108445859103</t>
  </si>
  <si>
    <r>
      <rPr>
        <sz val="10"/>
        <rFont val="Arial"/>
        <family val="0"/>
        <charset val="1"/>
      </rPr>
      <t xml:space="preserve">🚚🌏Doors and windows/decoration/cabinets/industrial/aluminum profile export factory</t>
    </r>
    <r>
      <rPr>
        <sz val="10"/>
        <rFont val="WenQuanYi Zen Hei"/>
        <family val="2"/>
      </rPr>
      <t xml:space="preserve">，</t>
    </r>
    <r>
      <rPr>
        <sz val="10"/>
        <rFont val="Arial"/>
        <family val="0"/>
        <charset val="1"/>
      </rPr>
      <t xml:space="preserve">#aluminumOEM #aluminumODM #aluminumfactory #aluminumprofile #aluminummanufact</t>
    </r>
  </si>
  <si>
    <t xml:space="preserve">https://www.tiktok.com/@twyford.tiles5/video/7605148957127216402</t>
  </si>
  <si>
    <t xml:space="preserve">twyford.tiles5</t>
  </si>
  <si>
    <t xml:space="preserve">#nairobi #capcut #slidingdoor #sliding #door </t>
  </si>
  <si>
    <t xml:space="preserve">https://www.tiktok.com/@markglassoffciel/video/7616821705012563221</t>
  </si>
  <si>
    <t xml:space="preserve">markglassoffciel</t>
  </si>
  <si>
    <t xml:space="preserve">MARK GLASS : L’expertise du verre et de l’aluminium au Maroc ! 📞 [tel] MARK GLASS, votre expert en verre et aluminium : pergolas, garde-corps, systèmes accordéo</t>
  </si>
  <si>
    <t xml:space="preserve">https://www.tiktok.com/@chinawindowsdoors/video/7649652809557609735</t>
  </si>
  <si>
    <t xml:space="preserve">Trackless hidden design ,silent sliding. #slidingdoor #slidingdoors #door #aluminium #alloy </t>
  </si>
  <si>
    <t xml:space="preserve">https://www.tiktok.com/@ayoub.aluminium/video/7574881992429374738</t>
  </si>
  <si>
    <t xml:space="preserve">مطبخ ألمنيوم حديث… جمال ✔️ قوة ✔️ جودة ✔️#مطابخ_حديثة #cuisine #مطابخ_حديثة_المنيوم #aluminum #المغرب🇲🇦 </t>
  </si>
  <si>
    <t xml:space="preserve">https://www.tiktok.com/@alocuisines/video/7237111478984166661</t>
  </si>
  <si>
    <t xml:space="preserve">مطبخ عصري حتى لسقف كما يحب أغلب المغاربة #cuisines #Équipées #cuisinesequipees #cuisineséquipées #cuisinemaison  #cuisine #Aluminium #mdfdecorado #cuisines #E</t>
  </si>
  <si>
    <t xml:space="preserve">https://www.tiktok.com/@wajihat.almohtarif/video/7493211277221743927</t>
  </si>
  <si>
    <t xml:space="preserve">wajihat.almohtarif</t>
  </si>
  <si>
    <t xml:space="preserve">تزيين واجهات المنازل بالمونوكوش ترافيرتينو  [tel] أبريل 2025 #المغرب  #الدار_البيضاء #تطوان #طنجة #القنيطرة #طنجة_تطوان_الحسيمة #وجدة #تزيين_الواجهات #2_0_2_5</t>
  </si>
  <si>
    <t xml:space="preserve">https://www.tiktok.com/@markglassoffciel/video/7600905057260899604</t>
  </si>
  <si>
    <t xml:space="preserve">https://www.tiktok.com/@alocuisines/video/7098062441342405893</t>
  </si>
  <si>
    <t xml:space="preserve">#question from @alucuisine #fyp #viral #foryou #foryoupage #moroccankitchen #cuisinemarocaine🇲🇦 #cuisinemoderne #cuisinemoderne #مطابخ_حديثة #مطبخ #مطبخ #مطابخ_</t>
  </si>
  <si>
    <t xml:space="preserve">https://www.tiktok.com/@siddiquealuminumandglass/video/7645164618670787860</t>
  </si>
  <si>
    <t xml:space="preserve">How to make a Telescope sliding door Full detail  Aluminum sliding door #telescope #slidinddoor #slidingdoor #creatorsearchinsights #trending </t>
  </si>
  <si>
    <t xml:space="preserve">https://www.tiktok.com/@kawner1/video/7637941592124312852</t>
  </si>
  <si>
    <t xml:space="preserve">kawner1</t>
  </si>
  <si>
    <t xml:space="preserve">✨ TR système ✨ Menuiserie aluminium haut de gamme 🇲🇦 Fenêtres aluminium • Baies vitrées • Pergolas bioclimatiques • Garde-corps vitrés • Volets roulants • Cabin</t>
  </si>
  <si>
    <t xml:space="preserve">https://www.tiktok.com/@deutschconfortt/video/7634149817517690119</t>
  </si>
  <si>
    <t xml:space="preserve">deutschconfortt</t>
  </si>
  <si>
    <t xml:space="preserve">BARAKA ! 🏡💧            #humidité #maroc #construction #facadedesign </t>
  </si>
  <si>
    <t xml:space="preserve">https://www.tiktok.com/@north.aluminium/video/7640863918335773970</t>
  </si>
  <si>
    <t xml:space="preserve">north.aluminium</t>
  </si>
  <si>
    <t xml:space="preserve">#ألمنيوم_المغرب #Aluminium #ألمنيوم #cuisine #cuisinealuminium </t>
  </si>
  <si>
    <t xml:space="preserve">https://www.tiktok.com/@hsmcfactory/video/7633352632865737997</t>
  </si>
  <si>
    <t xml:space="preserve">hsmcfactory</t>
  </si>
  <si>
    <r>
      <rPr>
        <sz val="10"/>
        <rFont val="Arial"/>
        <family val="0"/>
        <charset val="1"/>
      </rPr>
      <t xml:space="preserve">Looking for a reliable aluminium windows &amp; doors supplier with REAL factory strength? Consider HSMC window and door factory: 🏭 80,000</t>
    </r>
    <r>
      <rPr>
        <sz val="10"/>
        <rFont val="WenQuanYi Zen Hei"/>
        <family val="2"/>
      </rPr>
      <t xml:space="preserve">㎡ </t>
    </r>
    <r>
      <rPr>
        <sz val="10"/>
        <rFont val="Arial"/>
        <family val="0"/>
        <charset val="1"/>
      </rPr>
      <t xml:space="preserve">self-owned factory 📦 Stab</t>
    </r>
  </si>
  <si>
    <t xml:space="preserve">https://www.tiktok.com/@aluminiumomar/video/7605366253758319880</t>
  </si>
  <si>
    <t xml:space="preserve">aluminiumomar</t>
  </si>
  <si>
    <t xml:space="preserve">كوزينة المنيوم Cuisine Aluminium 2026  #aluminiumomar #casablanca #مطابخ #الجالية_المغربية_في_كل_مكان💚 #الالمنيوم </t>
  </si>
  <si>
    <t xml:space="preserve">https://www.tiktok.com/@cuisinealuminium/video/7301772186258312454</t>
  </si>
  <si>
    <t xml:space="preserve">cuisinealuminium</t>
  </si>
  <si>
    <t xml:space="preserve">Pour plus dinfos [tel] #cuisinealuminium #cuisinemarocaine #cuisine #مطبخ #مطبخألمنيوم #مطبخ_عصري #مطبخ_ألمنيوم  @Cuisin Ium </t>
  </si>
  <si>
    <t xml:space="preserve">https://www.tiktok.com/@zhejiangboma/video/7586644756382387486</t>
  </si>
  <si>
    <t xml:space="preserve">zhejiangboma</t>
  </si>
  <si>
    <t xml:space="preserve">High space utilization rate: The side-sliding opening method does not occupy the top and rear space inside the garage, which can maximize the use of the garage'</t>
  </si>
  <si>
    <t xml:space="preserve">https://www.tiktok.com/@jlchinafoshanfurniture/video/7485937332412075295</t>
  </si>
  <si>
    <t xml:space="preserve">jlchinafoshanfurniture</t>
  </si>
  <si>
    <t xml:space="preserve">Hidden sliding door#aluminum #China #factory #slidingdoor </t>
  </si>
  <si>
    <t xml:space="preserve">https://www.tiktok.com/@lipeng.hardware/video/7484125919620123911</t>
  </si>
  <si>
    <t xml:space="preserve">lipeng.hardware</t>
  </si>
  <si>
    <t xml:space="preserve">automatic sliding door#hardware #foryou #aluminum #slidingdoor #automaticdoor </t>
  </si>
  <si>
    <t xml:space="preserve">https://www.tiktok.com/@zaki.aluminiumpro/video/7478042262841183494</t>
  </si>
  <si>
    <t xml:space="preserve">#meniuserie #aluminium #casablanca #morocco🇲🇦 #redcity #cusine #balcon #placards #dicoration #casablanca #maroc🇲🇦 </t>
  </si>
  <si>
    <t xml:space="preserve">https://www.tiktok.com/@jaouadmachachi/video/6987421396662045957</t>
  </si>
  <si>
    <t xml:space="preserve">#placo #doublage #thermique #acoustique</t>
  </si>
  <si>
    <t xml:space="preserve">https://www.tiktok.com/@cuisinealuminium/video/7309486394500582662</t>
  </si>
  <si>
    <t xml:space="preserve">Pour plus d’infos [tel] #cuisinealuminium #cuisinemarocaine #cuisine #مطبخ #مطبخألمنيوم #مطبخ_عصري #مطبخ_ألمنيوم  @Cuisin Ium  @Cuisin Ium  @Cuisin Ium </t>
  </si>
  <si>
    <t xml:space="preserve">https://www.tiktok.com/@antigaspicaudry/video/7616804609536904480</t>
  </si>
  <si>
    <t xml:space="preserve">antigaspicaudry</t>
  </si>
  <si>
    <t xml:space="preserve">#baiecoulissante #baie #pvc #menuiserie #renover </t>
  </si>
  <si>
    <t xml:space="preserve">https://www.tiktok.com/@chouaib_design/video/7667666685171830023</t>
  </si>
  <si>
    <t xml:space="preserve">chouaib_design</t>
  </si>
  <si>
    <t xml:space="preserve">✨ الجودة تبدأ من التفاصيل، والثقة تُبنى بالإتقان. 🔹 جميع أشغال الألمنيوم والديكور العصري: ✔️ نوافذ وأبواب ألمنيوم ✔️ مطابخ عصرية ✔️ واجهات زجاجية ✔️ TV Wall ودي</t>
  </si>
  <si>
    <t xml:space="preserve">https://www.tiktok.com/@cuisin_aluminum_officiel/video/7599781703044943122</t>
  </si>
  <si>
    <t xml:space="preserve">مطبخ اليوم #مطابخ_حديثة #aluminum #ابواب_داخلية #مطابخ_عصرية #marocaine🇲🇦 </t>
  </si>
  <si>
    <t xml:space="preserve">https://www.tiktok.com/@k.c.hglassandaluminiumpr/video/7643053012520307988</t>
  </si>
  <si>
    <t xml:space="preserve">k.c.hglassandaluminiumpr</t>
  </si>
  <si>
    <t xml:space="preserve">done in Pretoria west we do manufacturing and installation of aluminium windows and doors call or WhatsApp 081 763 8515 for free qoute #fy #foryou #live </t>
  </si>
  <si>
    <t xml:space="preserve">https://www.tiktok.com/@cuisin_aluminum_officiel/video/7517360878581189894</t>
  </si>
  <si>
    <t xml:space="preserve">اكسسوارات المطابخ العصرية 2025 #مطابخ #مطابخ_حديثة_المنيوم #cuisine #aluminum #الجالية_المغربية_في_كل_مكان💚 #الدار_البيضاء #المغرب🇲🇦تونس🇹🇳الجزائر🇩🇿 </t>
  </si>
  <si>
    <t xml:space="preserve">https://www.tiktok.com/@ismailmakoui/video/7476634111990418743</t>
  </si>
  <si>
    <t xml:space="preserve">ismailmakoui</t>
  </si>
  <si>
    <t xml:space="preserve">#Ramadan2025 #تزين الواجهات المنازل صباغة الباسطا فصاد #كسر #الرخام #طريقة #عمل #ديكورات #حديثة #في #المغرب #جودة_عالية #،🤩😘🥰🤗♥️ #، </t>
  </si>
  <si>
    <t xml:space="preserve">https://www.tiktok.com/@cuisine_pvc_kenitra/video/7289905802771483910</t>
  </si>
  <si>
    <t xml:space="preserve">cuisine_pvc_kenitra</t>
  </si>
  <si>
    <t xml:space="preserve">cuisine aluminium  كوزينة أليمنيوم #المطابخ_الحديثه_الرائع #المطابخ_الحديثه_الرائعأثاث #مطبخ_العيله #المطابخ_الحديثة #cuisinemarocaine #cuisinemarocaine #tiktok</t>
  </si>
  <si>
    <t xml:space="preserve">https://www.tiktok.com/@alocuisines/video/7210008992926518533</t>
  </si>
  <si>
    <t xml:space="preserve">الألومنيوم مع mdf موديل كيجمع بين الصح والعمل والجمالية في نفس الوقت وهذ شي لي كيقلب عليه بزاف ديال الناس بحكم التقاليد ديال الطبخ في المغرب #مطابخ_عصرية  #Cuis</t>
  </si>
  <si>
    <t xml:space="preserve">https://www.tiktok.com/@forsy.cales/video/7555920542482795799</t>
  </si>
  <si>
    <t xml:space="preserve">forsy.cales</t>
  </si>
  <si>
    <t xml:space="preserve">Poser une baie coulissante #build #toturial #home #france #futebol</t>
  </si>
  <si>
    <t xml:space="preserve">https://www.tiktok.com/@orbitprints24/video/7643191365840424212</t>
  </si>
  <si>
    <t xml:space="preserve">orbitprints24</t>
  </si>
  <si>
    <t xml:space="preserve">Sublimation aluminium with brilliant colors and smooth finish #OrbitPrint #maroc #foryou #fyp </t>
  </si>
  <si>
    <t xml:space="preserve">https://www.tiktok.com/@harmosai/video/7454253643555032327</t>
  </si>
  <si>
    <t xml:space="preserve">harmosai</t>
  </si>
  <si>
    <t xml:space="preserve">Villa Safiya: A Modern Moroccan Masterpiece in White 🤍✨ Villa Safiya reimagines Moroccan elegance with modern, clean lines and straight-angled windows. Its slee</t>
  </si>
  <si>
    <t xml:space="preserve">https://www.tiktok.com/@aluminium_oujaiou/video/7574899004870479112</t>
  </si>
  <si>
    <t xml:space="preserve">الثمن مناسب جدا للمزيد من التفاصيل   [tel] #ابواب_داخلية #مطابخ_حديثة #aluminum #cuisine #marocaine🇲🇦 </t>
  </si>
  <si>
    <t xml:space="preserve">https://www.tiktok.com/@goraniang77/video/7446501845603716357</t>
  </si>
  <si>
    <t xml:space="preserve">goraniang77</t>
  </si>
  <si>
    <t xml:space="preserve">#aluminum fenêtre coulissante porte coulissante bae vitré </t>
  </si>
  <si>
    <t xml:space="preserve">https://www.tiktok.com/@papzaluminum/video/7509454142121790727</t>
  </si>
  <si>
    <t xml:space="preserve">papzaluminum</t>
  </si>
  <si>
    <t xml:space="preserve">Sliding Door🚪 #fyp #viral #PapzWorks #slidingdoor #aluminum </t>
  </si>
  <si>
    <t xml:space="preserve">https://www.tiktok.com/@wajihat.almohtarif/video/7630431469252463890</t>
  </si>
  <si>
    <t xml:space="preserve">منزل جميل بالمونوكوش ترافيرتينو  تزيين واجهات المنازل بالمونوكوش ترافيرتينو  [tel] #المغرب  #الدار_البيضاء #تطوان #طنجة #القنيطرة                               </t>
  </si>
  <si>
    <t xml:space="preserve">https://www.tiktok.com/@bouchrametal/video/7578305580725488952</t>
  </si>
  <si>
    <t xml:space="preserve">bouchrametal</t>
  </si>
  <si>
    <t xml:space="preserve">Thiam menuiserie métallique inox aluminium ‎🏗️ L'Excellence en Menuiserie Métallique &amp; Aluminium est là ! 🔩 ‎Vous rêvez de fenêtres, de baies vitrées ou de port</t>
  </si>
  <si>
    <t xml:space="preserve">https://www.tiktok.com/@mehdialuminium1973/video/7535554747483327746</t>
  </si>
  <si>
    <t xml:space="preserve">mehdialuminium1973</t>
  </si>
  <si>
    <t xml:space="preserve">installation élément cuisine avec tiroir en aluminium couleur noir #menuiserie #aluminum #porte fenêtre rideau #algerie🇩🇿 #france🇫🇷 #marocaine🇲🇦 #tunisia🇹🇳 #ita</t>
  </si>
  <si>
    <t xml:space="preserve">https://www.tiktok.com/@homedecor.tetouan/video/7418937269270089002</t>
  </si>
  <si>
    <t xml:space="preserve">homedecor.tetouan</t>
  </si>
  <si>
    <t xml:space="preserve">واجهات بديكورات عصرية #المغرب #تطوان #طنجة #صباغة #خارجية #واجهات #ديكورات #مونوكوش #صباغ #منزل #مونوكابا #الشعب_الصيني_ماله_حل😂😂 </t>
  </si>
  <si>
    <t xml:space="preserve">https://www.tiktok.com/@gryffin_doors/video/7592275074602781973</t>
  </si>
  <si>
    <t xml:space="preserve">gryffin_doors</t>
  </si>
  <si>
    <t xml:space="preserve">#AluminiumDoors  #SlidingDoors </t>
  </si>
  <si>
    <t xml:space="preserve">https://www.tiktok.com/@aluminiumomar/video/7646428821587283207</t>
  </si>
  <si>
    <t xml:space="preserve">cuisine aluminium  #aluminiumomar #cuisinealuminium #مطابخ_حديثة #الجالية_المغربية_في_كل_مكان💚 #casa </t>
  </si>
  <si>
    <t xml:space="preserve">https://www.tiktok.com/@abdellah.archi/video/7279130925705825542</t>
  </si>
  <si>
    <t xml:space="preserve">abdellah.archi</t>
  </si>
  <si>
    <t xml:space="preserve">tu es plutôt bois ou pierre ? #façade #villa_designت #avant_apres #habillagemural #architecture_marocaine #صالون_مغربي_تقليدي_عصري❤️🇲🇦 #صالون_مغربي_2023 #salon_</t>
  </si>
  <si>
    <t xml:space="preserve">https://www.tiktok.com/@enzadeco69/video/7625979346284612866</t>
  </si>
  <si>
    <t xml:space="preserve">Garde-corps en verre 🎊 Apportez une touche moderne et élégante à vos espaces avec nos garde-corps en verre, aussi esthétiques que résistants. ✨ Sur mesure ✨ Pot</t>
  </si>
  <si>
    <t xml:space="preserve">https://www.tiktok.com/@gil.sard.alu/video/7564447213577932054</t>
  </si>
  <si>
    <t xml:space="preserve">gil.sard.alu</t>
  </si>
  <si>
    <t xml:space="preserve">Baie vitrée coulissante et à battant réalisée par GIL SARD ALU.  Pour tous vos travaux, n’hésitez pas à nous contacter. #baie #baievitree #porte #alu </t>
  </si>
  <si>
    <t xml:space="preserve">https://www.tiktok.com/@aurelia1li/video/7688619262042295582</t>
  </si>
  <si>
    <t xml:space="preserve">aurelia1li</t>
  </si>
  <si>
    <t xml:space="preserve">L-shaped sliding #aluminium#Slidingdoor #aluminium #factory #interiordesign</t>
  </si>
  <si>
    <t xml:space="preserve">https://www.tiktok.com/@dellyfever/video/7535998808191241502</t>
  </si>
  <si>
    <t xml:space="preserve">dellyfever</t>
  </si>
  <si>
    <t xml:space="preserve">There are so many benefits to having this barn door in your house🙌🏽😍Best decision made🙌🏽 @EaselifeDirect ➡️Click on the orange shopping cart for more info &amp; pur</t>
  </si>
  <si>
    <t xml:space="preserve">https://www.tiktok.com/@lora_aluokna_kz/video/7656836183875521810</t>
  </si>
  <si>
    <t xml:space="preserve">lora_aluokna_kz</t>
  </si>
  <si>
    <t xml:space="preserve">🏭 Aluminum Profile Factory Factory direct supply. Custom extrusion and powder coating. Export service for Iraq. #Iraq #Baghdad #AluminumProfile #Factory #Constr</t>
  </si>
  <si>
    <t xml:space="preserve">https://www.tiktok.com/@zouiniyoussef/video/7375523617976716550</t>
  </si>
  <si>
    <t xml:space="preserve">#kenitra_morocco #kenitra #art #peinture #decoration #facade </t>
  </si>
  <si>
    <t xml:space="preserve">https://www.tiktok.com/@zaki.aluminiumpro/video/7477320969829223685</t>
  </si>
  <si>
    <t xml:space="preserve">https://www.tiktok.com/@gil.sard.alu/video/7598964582379736342</t>
  </si>
  <si>
    <t xml:space="preserve">Garde-corps en verre. Votre maison mérite le luxe.  C’est pourquoi nous conseillons souvent des gardescorps en verre, qui s’accordent à votre design. #gardecorp</t>
  </si>
  <si>
    <t xml:space="preserve">https://www.tiktok.com/@gaindaquioag/video/7529406311574916370</t>
  </si>
  <si>
    <t xml:space="preserve">gaindaquioag</t>
  </si>
  <si>
    <t xml:space="preserve">Sliding Screendoor 🚪 #screendoor #aluminum #aluminumworks #fyp #viral </t>
  </si>
  <si>
    <t xml:space="preserve">https://www.tiktok.com/@latelierduverre/video/7633922072783162644</t>
  </si>
  <si>
    <t xml:space="preserve">latelierduverre</t>
  </si>
  <si>
    <t xml:space="preserve">Fenêtre coulissante en aluminium.  +221 77 659 29 09 👉 Contactez-nous. #fenetrecoulissante #menuiseriealuminium #adv #senegal #viralvideo </t>
  </si>
  <si>
    <t xml:space="preserve">https://www.tiktok.com/@wanjiadoor_/video/7610995832149511437</t>
  </si>
  <si>
    <t xml:space="preserve">wanjiadoor_</t>
  </si>
  <si>
    <t xml:space="preserve">Durable aluminum structure with a smooth sliding system. Built for everyday use without compromising style. #slidingdoor #aluminumdoor #newhomeconstruction #doo</t>
  </si>
  <si>
    <t xml:space="preserve">https://www.tiktok.com/@m_z_alu/video/7601123716298312980</t>
  </si>
  <si>
    <t xml:space="preserve">m_z_alu</t>
  </si>
  <si>
    <t xml:space="preserve">✨ Garde-corps en verre trempé 10 mm pour balcon – Sécurité et élégance sans compromis ! 🔒🌟 #africa #abidjan #balcon #gardecorps #vitre </t>
  </si>
  <si>
    <t xml:space="preserve">https://www.tiktok.com/@rh_alumuneim1/video/7606065200428584212</t>
  </si>
  <si>
    <t xml:space="preserve">rh_alumuneim1</t>
  </si>
  <si>
    <t xml:space="preserve">نوفر لكم جميع أنواع الإصلاحات لمطبخكم ونعدكم بالإثقان  😍 مطابخ ألومنيوم، الخيار الأمثل للبيوت المغربية! 🍴👨‍🍳 نقدم لكم أحدث التصاميم والألوان، مع جودة  - تصاميم </t>
  </si>
  <si>
    <t xml:space="preserve">https://www.tiktok.com/@vitraf.alu/video/7635697481757625620</t>
  </si>
  <si>
    <t xml:space="preserve">vitraf.alu</t>
  </si>
  <si>
    <t xml:space="preserve">#VitrafAlu #BaieVitrée #FenêtreCoulissante #Djrobité </t>
  </si>
  <si>
    <t xml:space="preserve">https://www.tiktok.com/@skymaxmaroc.ma/video/7594966469578902792</t>
  </si>
  <si>
    <t xml:space="preserve">skymaxmaroc.ma</t>
  </si>
  <si>
    <t xml:space="preserve">BARDAGE   Habillage façade bardage composite wpc maroc disponible chez nous.  SKYMAX MAROC votre fournisseur de matériaux d'habillage et revêtement au maroc.  T</t>
  </si>
  <si>
    <t xml:space="preserve">https://www.tiktok.com/@zaki.aluminiumpro/video/7478863639236201733</t>
  </si>
  <si>
    <t xml:space="preserve">##meniuserie #aluminium #casablanca #morocco🇲🇦 #redcity #cusine #balcon #placards #maroc🇲🇦 </t>
  </si>
  <si>
    <t xml:space="preserve">https://www.tiktok.com/@alkea.solabaie.renoval/video/7214040878006930694</t>
  </si>
  <si>
    <t xml:space="preserve">alkea.solabaie.renoval</t>
  </si>
  <si>
    <t xml:space="preserve">La baie vitrée coulissante à galandage de la gamme Cosmos de solabaie vous permet d’obtenir luminosité, confort thermique et phonique pour votre maison  Pratiqu</t>
  </si>
  <si>
    <t xml:space="preserve">https://www.tiktok.com/@jaouadmachachi/video/6987405767183813893</t>
  </si>
  <si>
    <t xml:space="preserve">#doublage #placo #isolation #thermique #acoustique</t>
  </si>
  <si>
    <t xml:space="preserve">https://www.tiktok.com/@alumtingis/video/7633519707018022152</t>
  </si>
  <si>
    <t xml:space="preserve">alumtingis</t>
  </si>
  <si>
    <t xml:space="preserve">#الومنيوم #أبواب #شبابيك #الومنيوم_طينجيس #alumtingis الومنيوم aluminium الومنيوم المغرب aluminium de maroc نجارة الالومنيوم طنجة</t>
  </si>
  <si>
    <t xml:space="preserve">https://www.tiktok.com/@erickwibowo01/video/7607479522316881159</t>
  </si>
  <si>
    <t xml:space="preserve">erickwibowo01</t>
  </si>
  <si>
    <t xml:space="preserve">pintu geser/sliding full ornamen.  #pintualuminium #alumunium #pintuslidingaluminium #fyp #fouryoupage </t>
  </si>
  <si>
    <t xml:space="preserve">https://www.tiktok.com/@aluminium.safii/video/7580108360243105031</t>
  </si>
  <si>
    <t xml:space="preserve">aluminium.safii</t>
  </si>
  <si>
    <t xml:space="preserve">#safi #casablanca #marrakech </t>
  </si>
  <si>
    <t xml:space="preserve">https://www.tiktok.com/@alupro26/video/7629655038478159124</t>
  </si>
  <si>
    <t xml:space="preserve">alupro26</t>
  </si>
  <si>
    <t xml:space="preserve">Aluminium doors and windows  #newera #southafricatiktok🇿🇦 #pitori </t>
  </si>
  <si>
    <t xml:space="preserve">https://www.tiktok.com/@gary03392/video/7432287767574400261</t>
  </si>
  <si>
    <t xml:space="preserve">gary03392</t>
  </si>
  <si>
    <t xml:space="preserve">Sliding door and Single door installations #construction  #aluminium  #trendingvideo </t>
  </si>
  <si>
    <t xml:space="preserve">https://www.tiktok.com/@gil.sard.alu/video/7530708755382553878</t>
  </si>
  <si>
    <t xml:space="preserve">Porte coulissante vitrée  #ouverture #baievitree #alu </t>
  </si>
  <si>
    <t xml:space="preserve">https://www.tiktok.com/@zaki.aluminiumpro/video/7499202466643332357</t>
  </si>
  <si>
    <t xml:space="preserve">#menuiserie #aluminium #casablanca #morocco🇲🇦 #redcity #cusine #placards #شعب_الصيني_ماله_حل😂😂 #maroc🇲🇦 </t>
  </si>
  <si>
    <t xml:space="preserve">https://www.tiktok.com/@aluminum.factory.nan/video/7580298510671662354</t>
  </si>
  <si>
    <t xml:space="preserve">aluminum.factory.nan</t>
  </si>
  <si>
    <r>
      <rPr>
        <sz val="10"/>
        <rFont val="Arial"/>
        <family val="0"/>
        <charset val="1"/>
      </rPr>
      <t xml:space="preserve">🪟🚪Custom manufacturer of doors and windows/building/decoration/industrial aluminum profiles</t>
    </r>
    <r>
      <rPr>
        <sz val="10"/>
        <rFont val="WenQuanYi Zen Hei"/>
        <family val="2"/>
      </rPr>
      <t xml:space="preserve">， </t>
    </r>
    <r>
      <rPr>
        <sz val="10"/>
        <rFont val="Arial"/>
        <family val="0"/>
        <charset val="1"/>
      </rPr>
      <t xml:space="preserve">#aluminumprofile #aluminumOEM #aluminumODM #chinaaluminumfactory #a</t>
    </r>
  </si>
  <si>
    <t xml:space="preserve">https://www.tiktok.com/@joubijalusystem/video/7642838250297576737</t>
  </si>
  <si>
    <t xml:space="preserve">joubijalusystem</t>
  </si>
  <si>
    <t xml:space="preserve">#explore #fyp #maroc #casablanca #aluminum @Alu Baraka </t>
  </si>
  <si>
    <t xml:space="preserve">https://www.tiktok.com/@cuisine_pvc_kenitra/video/7341499332463463685</t>
  </si>
  <si>
    <t xml:space="preserve">cuisine aluminium gris antik  #مطابخ_حديثة_المنيوم #كوزينة #اليمنيوم  #cuisinemarocaine #cuisinepvckenitra #تراندات_تيك_توك #المغرب #المغرب🇲🇦تونس🇹🇳الجزائر🇩🇿تركي</t>
  </si>
  <si>
    <t xml:space="preserve">https://www.tiktok.com/@lihengdoorsandwindows/video/7632132398192397590</t>
  </si>
  <si>
    <t xml:space="preserve">lihengdoorsandwindows</t>
  </si>
  <si>
    <t xml:space="preserve">Exterior PT doors designed for durability and modern outdoor applications. Built with strong aluminum structure and smooth sliding performance, offering weather</t>
  </si>
  <si>
    <t xml:space="preserve">https://www.tiktok.com/@atelier_el_jami/video/7630492488117046535</t>
  </si>
  <si>
    <t xml:space="preserve">atelier_el_jami</t>
  </si>
  <si>
    <t xml:space="preserve">موستكير 🦟كوليس ألمنيوم اللون ابيض و متوفر في ألوان ✅moustiquaire  #moustiquaire #coulisses #aluminum #maroc #foryou  [tel]</t>
  </si>
  <si>
    <t xml:space="preserve">https://www.tiktok.com/@chinawindoors/video/7600609886392552735</t>
  </si>
  <si>
    <t xml:space="preserve">chinawindoors</t>
  </si>
  <si>
    <t xml:space="preserve">It is an aluminum alloy PT door that can be opened fully, either by swinging or sliding. #aluminium #doors  #door #slidingdoor  #interiordesign </t>
  </si>
  <si>
    <t xml:space="preserve">https://www.tiktok.com/@cuisinealuminiumzemzem/video/7275431151890730245</t>
  </si>
  <si>
    <t xml:space="preserve">@CuisineAluminiumZemZem #TikToklong #خزانة #armoire #placards #maroc #casa #bernoussi #mohamadia #rabat #cuisine #cuisineenaluminium #cuisineenaluminiumzemzem #</t>
  </si>
  <si>
    <t xml:space="preserve">https://www.tiktok.com/@ho.qunh65/video/7674864367912881426</t>
  </si>
  <si>
    <t xml:space="preserve">Anyone know what’s going on? #aluminumprofile #aluminumextrusion #aluminumtube #aluminumfactory #aluminum </t>
  </si>
  <si>
    <t xml:space="preserve">https://www.tiktok.com/@rofof.fes/video/7698007052467096839</t>
  </si>
  <si>
    <t xml:space="preserve">rofof.fes</t>
  </si>
  <si>
    <t xml:space="preserve">مطابخ الألمنيوم دات جودة عالية   بفاس cuisine aluminium haut qualité à fes #cuisine #mdf #aluminum </t>
  </si>
  <si>
    <t xml:space="preserve">https://www.tiktok.com/@proalumad/video/7697236319046602004</t>
  </si>
  <si>
    <t xml:space="preserve">#proalumad #cuisinealuminium #bouznika #casablanca #sale </t>
  </si>
  <si>
    <t xml:space="preserve">https://www.tiktok.com/@amovdesign/video/7220020837963943174</t>
  </si>
  <si>
    <t xml:space="preserve">amovdesign</t>
  </si>
  <si>
    <t xml:space="preserve">#cuisinetiktok #cuisinemaison #مطبخي #amenagement #maroc #cuisine #مطبخ #travauxmaison #❤️ #اكسبلور #اكسبلورexplore #explore </t>
  </si>
  <si>
    <t xml:space="preserve">https://www.tiktok.com/@zaki.aluminiumpro/video/7475865625563237638</t>
  </si>
  <si>
    <t xml:space="preserve">#meniuserie #aluminium #casablanca #morocco🇲🇦 #redcity #cusine #balcon #dicoration #placards #casablanca #maroc🇲🇦 </t>
  </si>
  <si>
    <t xml:space="preserve">https://www.tiktok.com/@aluteams/video/7289293447758990597</t>
  </si>
  <si>
    <t xml:space="preserve">aluteams</t>
  </si>
  <si>
    <t xml:space="preserve">Aluminum profile warehouse #factory #aluminum #profile #manufacturer #export</t>
  </si>
  <si>
    <t xml:space="preserve">https://www.tiktok.com/@nestartaluminium/video/7687067055283064085</t>
  </si>
  <si>
    <t xml:space="preserve">nestartaluminium</t>
  </si>
  <si>
    <t xml:space="preserve">ESD 2000 series premium Quality sliding system!! Dubai quality for a local price!! All new architectural aluminium doors and windows. ප්‍රමිතියකින් හා උසස් නිමා</t>
  </si>
  <si>
    <t xml:space="preserve">https://www.tiktok.com/@mqg_home/video/7681783160736058641</t>
  </si>
  <si>
    <t xml:space="preserve">mqg_home</t>
  </si>
  <si>
    <t xml:space="preserve">✨ Élégance &amp; modernité jusque dans les détails. Un escalier conçu pour apporter du caractère à l’intérieur : marches en finition noire, garde-corps en verre et </t>
  </si>
  <si>
    <t xml:space="preserve">https://www.tiktok.com/@alu.mamoune/video/7417375661817384197</t>
  </si>
  <si>
    <t xml:space="preserve">##الجديدة #بوسكورة #المحمدية #الدارالبيضاء #الدارالبيضاء #الرباط #cuisinetiktok #cuisinemdfmaroc #مطابخ_حديثة_المنيوم #cuisinealuminium #cuisniemaroccaine #مطاب</t>
  </si>
  <si>
    <t xml:space="preserve">https://www.tiktok.com/@wajihat.almohtarif/video/7548874883095072018</t>
  </si>
  <si>
    <t xml:space="preserve">[tel] تزيين واجهات منازل  صور من أعمالنا لواجهات عمارات بالمونوكوش ترافيرتينو   تزيين واجهات المنازل بالمونوكوش ترافيرتينو  #طنجة #تطوان_المغرب #الدار_البيضاء  </t>
  </si>
  <si>
    <t xml:space="preserve">https://www.tiktok.com/@willy_alu_pvc/video/7697017538290502933</t>
  </si>
  <si>
    <t xml:space="preserve">willy_alu_pvc</t>
  </si>
  <si>
    <t xml:space="preserve">#willy_alu_pvc  #menuiserie_aluminium  #اكسبلور  #fyp  #مطابخ_الألمنيوم_في_الجزائر </t>
  </si>
  <si>
    <t xml:space="preserve">https://www.tiktok.com/@shahzadpunjabiwala/video/7686550433212484886</t>
  </si>
  <si>
    <t xml:space="preserve">shahzadpunjabiwala</t>
  </si>
  <si>
    <t xml:space="preserve">Wow! Smart Sliding Door Design 😍🔥 | Space Saving Door Idea Amazing and smart sliding door design! 😍🔥 Is design mein door side par slide hota hai, jis se space b</t>
  </si>
  <si>
    <t xml:space="preserve">https://www.tiktok.com/@aluminiumomar/video/7624303019403906322</t>
  </si>
  <si>
    <t xml:space="preserve">cuisine aluminium  مطبخ بالألمنيوم التصميم على حسب الزبون  #aluminiumomar #casa #maroc #مطبخ#الدارالبيضاء </t>
  </si>
  <si>
    <t xml:space="preserve">https://www.tiktok.com/@68designcreation/video/7668331731124112673</t>
  </si>
  <si>
    <t xml:space="preserve">68designcreation</t>
  </si>
  <si>
    <t xml:space="preserve">Garde-corps verre piscine #gardecorpssurmesure #gardecorps #gardecorpsverre #construction #piscine </t>
  </si>
  <si>
    <t xml:space="preserve">https://www.tiktok.com/@alaaeddinn.23/video/7576385783444032776</t>
  </si>
  <si>
    <t xml:space="preserve">alaaeddinn.23</t>
  </si>
  <si>
    <t xml:space="preserve">#الومينيوم #نجارةالالمنيوم #pourtoi #نوافذ #ابواب </t>
  </si>
  <si>
    <t xml:space="preserve">https://www.tiktok.com/@isidore652/video/7552407238149754168</t>
  </si>
  <si>
    <t xml:space="preserve">isidore652</t>
  </si>
  <si>
    <t xml:space="preserve">Tout travail de menuiserie aluminium disponible pour vous sur le marché togolais contacter nous dans bio🪛🙏🏻</t>
  </si>
  <si>
    <t xml:space="preserve">https://www.tiktok.com/@amovdesign/video/7220564109194988806</t>
  </si>
  <si>
    <t xml:space="preserve">#cuisinetiktok #cuisinemaison #مطبخي #amenagement #maroc #cuisine #مطبخ #travauxmaison #اكسبلور #اكسبلورexplore #explore #HPRadicalReuse #❤️ </t>
  </si>
  <si>
    <t xml:space="preserve">https://www.tiktok.com/@profilagedusud/video/7351856178634247430</t>
  </si>
  <si>
    <t xml:space="preserve">profilagedusud</t>
  </si>
  <si>
    <t xml:space="preserve">#marocain #maroc #marocaine #morocco #casablanca #marrakech #menuiserie #aluminum #aluminiumwindows #architecture #verre #fenêtre #porte #aluminiumwelding #trav</t>
  </si>
  <si>
    <t xml:space="preserve">https://www.tiktok.com/@builditplusklerksdorp/video/7693530049764445458</t>
  </si>
  <si>
    <t xml:space="preserve">builditplusklerksdorp</t>
  </si>
  <si>
    <t xml:space="preserve">Aluminium doors and windows available at our store!😮‍💨🔥 #fyp #aluminum #doors #windows #builditplusklerksdorp </t>
  </si>
  <si>
    <t xml:space="preserve">https://www.tiktok.com/@cuisinealuminium/video/7308858647835135237</t>
  </si>
  <si>
    <t xml:space="preserve">#cuisinealuminium #cuisinemarocaine #cuisine #مطبخ #مطبخألمنيوم #مطبخ_عصري #مطبخ_ألمنيوم # @Cuisin Ium  @Cuisin Ium  @Cuisin Ium </t>
  </si>
  <si>
    <t xml:space="preserve">https://www.tiktok.com/@alumecharef/video/7586345141510622484</t>
  </si>
  <si>
    <t xml:space="preserve">alumecharef</t>
  </si>
  <si>
    <t xml:space="preserve">– Washing Room 🔧✨ Aménagement d’une washing room en menuiserie aluminium Réalisation moderne et fonctionnelle, pensée pour un usage pratique au quotidien : ✔️ M</t>
  </si>
  <si>
    <t xml:space="preserve">https://www.tiktok.com/@gil.sard.alu/video/7656147293476752672</t>
  </si>
  <si>
    <t xml:space="preserve">Optez pour l’élégance avec ces garde-corps en verre.  L’élégance n’exclut pas la sécurité, c’est pourquoi vous devez toujours le faire avec des verres de minimu</t>
  </si>
  <si>
    <t xml:space="preserve">https://www.tiktok.com/@zayna.immo/video/7691384991623679253</t>
  </si>
  <si>
    <t xml:space="preserve">zayna.immo</t>
  </si>
  <si>
    <t xml:space="preserve">Le secret d'un escalier ultra-minimaliste. découvrez la pose de ce rail slim en applique pour un rendu moderne et épuré ! احسن طريقة باش تركب Garde corps ديال ا</t>
  </si>
  <si>
    <t xml:space="preserve">https://www.tiktok.com/@expertalupro/video/7679731501390384416</t>
  </si>
  <si>
    <t xml:space="preserve">100 % fabriqué en France. Nos menuiseries aluminium sont fabriquées dans notre propre atelier. Une chaîne courte, un contrôle direct sur la qualité, et des déla</t>
  </si>
  <si>
    <t xml:space="preserve">https://www.tiktok.com/@jobabat1/video/7156335498909207813</t>
  </si>
  <si>
    <t xml:space="preserve">jobabat1</t>
  </si>
  <si>
    <t xml:space="preserve">balcon aluminium , بالكون ألألمنيوم #المغرب ، #نوافذ #pergola #aluminium #maroc #الزجاج #coulissesللاستفسار اكثر  اتصل على الرقم التالي    [tel] OU  [tel]  l'ad</t>
  </si>
  <si>
    <t xml:space="preserve">https://www.tiktok.com/@jobabat1/video/7627449245980855573</t>
  </si>
  <si>
    <t xml:space="preserve">pergola terrasse balcon aluminium maroc,  تسقيف طيراس بالكو و تركيب الألمنيوم و الزجاج  #ضالة_كيت  #dalakit </t>
  </si>
  <si>
    <t xml:space="preserve">https://www.tiktok.com/@aluminum.factory.nan/video/7690514464256445704</t>
  </si>
  <si>
    <r>
      <rPr>
        <sz val="10"/>
        <rFont val="Arial"/>
        <family val="0"/>
        <charset val="1"/>
      </rPr>
      <t xml:space="preserve">🚪🪟Door and Window/Building/Decoration/Industrial/Aluminum Profile Extrusion Production Plant</t>
    </r>
    <r>
      <rPr>
        <sz val="10"/>
        <rFont val="WenQuanYi Zen Hei"/>
        <family val="2"/>
      </rPr>
      <t xml:space="preserve">， </t>
    </r>
    <r>
      <rPr>
        <sz val="10"/>
        <rFont val="Arial"/>
        <family val="0"/>
        <charset val="1"/>
      </rPr>
      <t xml:space="preserve">#aluminumprofile #aluminumOEM #aluminumODM #chinaaluminumfactory #</t>
    </r>
  </si>
  <si>
    <t xml:space="preserve">https://www.tiktok.com/@abrarlum/video/7646321766092082440</t>
  </si>
  <si>
    <t xml:space="preserve">abrarlum</t>
  </si>
  <si>
    <t xml:space="preserve">Avant / Après : Transformation totale avec separation BA13 et portes en aluminium  # #maroc #separationbeatric #decoration #construccion #menuiserie  merhba [te</t>
  </si>
  <si>
    <t xml:space="preserve">https://www.tiktok.com/@deutschconfortt/video/7624502186235645202</t>
  </si>
  <si>
    <t xml:space="preserve">Petite installation en jardin avec en vedette, notre modèle réf: ‘Big Rock’. Décorer son jardin c’est bien, le protéger en même temps, c’est mieux. #designmaroc</t>
  </si>
  <si>
    <t xml:space="preserve">https://www.tiktok.com/@markglassoffciel/video/7610462267515145492</t>
  </si>
  <si>
    <t xml:space="preserve">https://www.tiktok.com/@kapcarbreuillevert/video/7611564341963410710</t>
  </si>
  <si>
    <t xml:space="preserve">kapcarbreuillevert</t>
  </si>
  <si>
    <t xml:space="preserve">✨ NOUVEAUTÉ – GARDE-CORPS EN VERRE DISPONIBLES EN SHOWROOM ✨ Envie d’un rendu moderne, élégant et sécurisé ? Découvrez nos garde-corps en verre disponibles dès </t>
  </si>
  <si>
    <t xml:space="preserve">https://www.tiktok.com/@aluminum.factory.nan/video/7654517073837559048</t>
  </si>
  <si>
    <t xml:space="preserve">🙌🏭Factory direct sales of aluminum profile doors and windows, #aluminumprofile #aluminumOEM #aluminumODM #chinaaluminumfactory #aluminumextrusion #aluminummanuf</t>
  </si>
  <si>
    <t xml:space="preserve">https://www.tiktok.com/@willy_alu_pvc/video/7698015102208838932</t>
  </si>
  <si>
    <t xml:space="preserve">#cejour-là #willy_alu_pvc  #اكسبلور  #menuiserie_aluminium </t>
  </si>
  <si>
    <t xml:space="preserve">https://www.tiktok.com/@pukapergola/video/7698350355104517384</t>
  </si>
  <si>
    <t xml:space="preserve">pukapergola</t>
  </si>
  <si>
    <t xml:space="preserve">Puka Pergola(@pukapergola.ma)📍Bouskoura — Expertise Européenne. Excellence Marocaine. 🇪🇺 Nos pergolas bioclimatiques sont fabriquées avec des profils en alumini</t>
  </si>
  <si>
    <t xml:space="preserve">https://www.tiktok.com/@maghreb_design/video/7626472323058552085</t>
  </si>
  <si>
    <t xml:space="preserve">maghreb_design</t>
  </si>
  <si>
    <t xml:space="preserve">D’un terrain vide au symbole moderne du Maroc 🇲🇦🔥   La naissance du Borj Mohammed VI étape par étape : fondations, élévation, façade, détails… jusqu’à cette tou</t>
  </si>
  <si>
    <t xml:space="preserve">https://www.tiktok.com/@pukapergola/video/7697967772122352914</t>
  </si>
  <si>
    <t xml:space="preserve">@PukaPergola.ma 📍TANGER — Expertise Européenne. Excellence Marocaine. 🇪🇺 Nos pergolas bioclimatiques sont fabriquées avec des profils en aluminium certifiés aux</t>
  </si>
  <si>
    <t xml:space="preserve">https://www.tiktok.com/@benhmed33/video/7627960083795873045</t>
  </si>
  <si>
    <t xml:space="preserve">benhmed33</t>
  </si>
  <si>
    <t xml:space="preserve">ديكور منوكوش بارداج باللونين الاحمر والبني هو اللون المطلوب لدي في مدينة مراكش رأيكم يهمني #benhmed_décoration_façade #benhmeddécor #monocouche #foryou #design </t>
  </si>
  <si>
    <t xml:space="preserve">https://www.tiktok.com/@glass_systems/video/7363552157229993249</t>
  </si>
  <si>
    <t xml:space="preserve">glass_systems</t>
  </si>
  <si>
    <t xml:space="preserve">Installation d’un Garde-corps en Verre en cours 🛠️ #installation #montage #technique #escaliers #palier #verre #surmesure #resistant #securite #france #menuiser</t>
  </si>
  <si>
    <t xml:space="preserve">https://www.tiktok.com/@mlaluminium/video/7591417803630972181</t>
  </si>
  <si>
    <t xml:space="preserve">mlaluminium</t>
  </si>
  <si>
    <t xml:space="preserve">Aluminium sliding door. </t>
  </si>
  <si>
    <t xml:space="preserve">https://www.tiktok.com/@azdinloum00/video/7590482841050385685</t>
  </si>
  <si>
    <t xml:space="preserve">azdinloum00</t>
  </si>
  <si>
    <t xml:space="preserve">مطبخ ألومنيوم عصري رائع 👏 #cusine #كوزينة_مطبخي #مطابخ_حديثة_المنيوم #morocco #مطبخي </t>
  </si>
  <si>
    <t xml:space="preserve">https://www.tiktok.com/@allumix.abarkan/video/7648971341076483336</t>
  </si>
  <si>
    <t xml:space="preserve">allumix.abarkan</t>
  </si>
  <si>
    <t xml:space="preserve">Garde Corps Verre Stadip Transparent. Contact [tel] #allumixabarkan #inox #aluminum #design #kitchen </t>
  </si>
  <si>
    <t xml:space="preserve">https://www.tiktok.com/@mohsineelmouadine/video/7696596812169432327</t>
  </si>
  <si>
    <t xml:space="preserve">mohsineelmouadine</t>
  </si>
  <si>
    <t xml:space="preserve">نوافذ ألمنيوم عصرية بالكاش ريدو (Cache Rideaux) مع الزجاج#ألمنيوم #كاش_ريدو #نوافذ_ألمنيوم #Aluminium #maroc </t>
  </si>
  <si>
    <t xml:space="preserve">https://www.tiktok.com/@mohamedamraoui481/video/7698791155282103604</t>
  </si>
  <si>
    <t xml:space="preserve">mohamedamraoui481</t>
  </si>
  <si>
    <t xml:space="preserve">Cachez ce compteur que je ne saurais voir ! 🤫 L’aluminium s'invite partout pour une finition extérieure 100% nette. Qualité Alu Bizerte 🇹🇳👉 Pour plus de détails</t>
  </si>
  <si>
    <t xml:space="preserve">https://www.tiktok.com/@alugabon/video/7600719856312257809</t>
  </si>
  <si>
    <t xml:space="preserve">alugabon</t>
  </si>
  <si>
    <t xml:space="preserve">Passez déjà vos commandes au 077595977#aluminum #clientes #viral #diy #baiesvitrées </t>
  </si>
  <si>
    <t xml:space="preserve">https://www.tiktok.com/@marvel.kigali.gorin/video/7687232188114390280</t>
  </si>
  <si>
    <t xml:space="preserve">marvel.kigali.gorin</t>
  </si>
  <si>
    <t xml:space="preserve">Brand new aluminium factory in Kigali Freezone that can sell aluminium profile to carry 350kg glass! Privacy protection wall! Children protection foldable doors</t>
  </si>
  <si>
    <t xml:space="preserve">https://www.tiktok.com/@aluminium.safii/video/7697962171405307154</t>
  </si>
  <si>
    <t xml:space="preserve">https://www.tiktok.com/@sahara.intelligence/video/7449839690498297120</t>
  </si>
  <si>
    <t xml:space="preserve">sahara.intelligence</t>
  </si>
  <si>
    <t xml:space="preserve">Vers une harmonisation des façades de cafés à Casablanca#rabat#maroc#casablanca#harmonie #cafe#facade#restauration#image#decor#demande#wali#ordre#urbanisation#l</t>
  </si>
  <si>
    <t xml:space="preserve">https://www.tiktok.com/@kajobaashraf/video/7698475710784015636</t>
  </si>
  <si>
    <t xml:space="preserve">#fyp #foryou #foryoupage #ugandatiktok #aluminum  @kajobaashraf </t>
  </si>
  <si>
    <t xml:space="preserve">https://www.tiktok.com/@designodoorslimited/video/7679527151703461152</t>
  </si>
  <si>
    <t xml:space="preserve">designodoorslimited</t>
  </si>
  <si>
    <t xml:space="preserve">##aluminium #sliding #installation #renovation #construction </t>
  </si>
  <si>
    <t xml:space="preserve">https://www.tiktok.com/@aluminium.style/video/7666501459814501639</t>
  </si>
  <si>
    <t xml:space="preserve">aluminium.style</t>
  </si>
  <si>
    <t xml:space="preserve">❌❌✅nouveau chantier 💯💯🇹🇳#menuiserie #aluminum #doors #tunisia🇹🇳 #libya🇱🇾 </t>
  </si>
  <si>
    <t xml:space="preserve">https://www.tiktok.com/@rm_accessoires1/video/7613524695069003028</t>
  </si>
  <si>
    <t xml:space="preserve">rm_accessoires1</t>
  </si>
  <si>
    <t xml:space="preserve">Charnière 3D (RM Accessoires)  مفصلات بجودة احترافية للبيع بالجملة ، الاختيار الأول للحرفيين في المغرب لضمان إتقان وسهولة في التركيب #RM_Accessoires #Aluminium_</t>
  </si>
  <si>
    <t xml:space="preserve">https://www.tiktok.com/@estudiolfarq/video/7582289176230432020</t>
  </si>
  <si>
    <t xml:space="preserve">Casa Moderna Life House - Casa Blanca, Marrocos 🇲🇦 By Estúdio LF Arquitetura  . . #arquitetura #casasdeluxo #casasluxuosas #fachadasmodernas #imoveisdeluxo </t>
  </si>
  <si>
    <t xml:space="preserve">https://www.tiktok.com/@lamenagere.paris/video/7659831064415735073</t>
  </si>
  <si>
    <t xml:space="preserve">lamenagere.paris</t>
  </si>
  <si>
    <t xml:space="preserve">✔️ Cette magnifique porte vitrée coulissante est idéale pour séparer un couloir d'un salon, d'une cuisine ou de toilettes. Elle convient également parfaitement </t>
  </si>
  <si>
    <t xml:space="preserve">https://www.tiktok.com/@changyuanalu/video/7198069285124672769</t>
  </si>
  <si>
    <t xml:space="preserve">changyuanalu</t>
  </si>
  <si>
    <t xml:space="preserve">aluminium profile anodizing #aluminium #aluminiumprofile #aluminum #manufacturing #China #foshanbuildingmaterials #anodizing @ #factory #powdercoated</t>
  </si>
  <si>
    <t xml:space="preserve">https://www.tiktok.com/@khaledhadjkali/video/7575947445595639058</t>
  </si>
  <si>
    <t xml:space="preserve">khaledhadjkali</t>
  </si>
  <si>
    <t xml:space="preserve">Une baie vitrée Tpr blanc coulissant trois rails pour plus d’informations. N’hésitez pas à nous appeler sur 07 97 603, 903, localisation Kn Alu bouzareah Alger </t>
  </si>
  <si>
    <t xml:space="preserve">https://www.tiktok.com/@aydiscount/video/7647225695323737347</t>
  </si>
  <si>
    <t xml:space="preserve">aydiscount</t>
  </si>
  <si>
    <t xml:space="preserve">🔥 GARDE-CORPS EN VERRE 270€/ml🔥 Apportez une touche moderne et élégante à votre terrasse, balcon ou escalier avec nos garde-corps en verre haute qualité. ✔️ Des</t>
  </si>
  <si>
    <t xml:space="preserve">https://www.tiktok.com/@aluminum.profile0/video/7580610861778291976</t>
  </si>
  <si>
    <t xml:space="preserve">aluminum.profile0</t>
  </si>
  <si>
    <t xml:space="preserve">Where to buy aluminum profile? Absolutely Foshan China. We have customers from many different countries. See if there is your country below. We focus on aluminu</t>
  </si>
  <si>
    <t xml:space="preserve">https://www.tiktok.com/@nassimtaamourt/video/7697690722576747828</t>
  </si>
  <si>
    <t xml:space="preserve">nassimtaamourt</t>
  </si>
  <si>
    <t xml:space="preserve">https://www.tiktok.com/@zaki.aluminiumpro/video/7474376416902008069</t>
  </si>
  <si>
    <t xml:space="preserve">https://www.tiktok.com/@atouleee.national/video/7508765260036279574</t>
  </si>
  <si>
    <t xml:space="preserve">atouleee.national</t>
  </si>
  <si>
    <t xml:space="preserve">Baie vitrée à 6 vantaux coulissants sur 3 rails, avec ouverture en angle, offrant une vue panoramique exceptionnelle et une ventilation naturelle optimale. Dime</t>
  </si>
  <si>
    <t xml:space="preserve">https://www.tiktok.com/@sidali90k/video/7653861823326031124</t>
  </si>
  <si>
    <t xml:space="preserve">sidali90k</t>
  </si>
  <si>
    <t xml:space="preserve">#aluminium #شعب_الصيني_ماله_حل😂😂 #dressing #outillage #menuiserie </t>
  </si>
  <si>
    <t xml:space="preserve">https://www.tiktok.com/@mirrorsdesign/video/7554371290291866887</t>
  </si>
  <si>
    <t xml:space="preserve">mirrorsdesign</t>
  </si>
  <si>
    <t xml:space="preserve">#Cuisine #CuisineElegante #CuisineDesign #CuisineModerne #CuisineMarocaine #KitchenDesign #KitchenInspiration #HomeDecor #DecoMaison #CuisineEnAluminium #Modern</t>
  </si>
  <si>
    <t xml:space="preserve">https://www.tiktok.com/@joubijalusystem/video/7653596542900636960</t>
  </si>
  <si>
    <t xml:space="preserve">#ألمنيوم #ديكور_مغربي #explore #aluminum #marocaine🇲🇦 </t>
  </si>
  <si>
    <t xml:space="preserve">https://www.tiktok.com/@menuiserielembour/video/7042302615966813446</t>
  </si>
  <si>
    <t xml:space="preserve">menuiserielembour</t>
  </si>
  <si>
    <t xml:space="preserve">Porte coulissante bois et fer pour baie vitrée 77 054 12 84.</t>
  </si>
  <si>
    <t xml:space="preserve">https://www.tiktok.com/@aluminooo/video/7606474003909250325</t>
  </si>
  <si>
    <t xml:space="preserve">Cabine de douche, système fixe, fixation profil Aluminium, original salle de bain   Disponible au Maroc 🇲🇦  contacte sur WhatsApp [tel]  ##salledebain##maroc##c</t>
  </si>
  <si>
    <t xml:space="preserve">https://www.tiktok.com/@zaki.aluminiumpro/video/7689989589875969332</t>
  </si>
  <si>
    <t xml:space="preserve">#placards #aluminium #😍🤎 #cuisine #maroco🇲🇦algeria🇩🇿tunisia🇹🇳 </t>
  </si>
  <si>
    <t xml:space="preserve">https://www.tiktok.com/@alocuisines/video/7237812478875421957</t>
  </si>
  <si>
    <t xml:space="preserve">جديد المطابخ العصرية في المغرب مطبخ إم دي إف مع الالومنيوم الصح و العمل MDF et Aluminium #cuisines #Équipées #cuisinesequipees #cuisineséquipées #cuisinemaiso</t>
  </si>
  <si>
    <t xml:space="preserve">https://www.tiktok.com/@snay3i_bdarija/video/7297664548385918213</t>
  </si>
  <si>
    <t xml:space="preserve">snay3i_bdarija</t>
  </si>
  <si>
    <t xml:space="preserve">الألمينوم الزجاج mdf  مرحبا بكم تمن جد مناسب وجودة عالية [tel]  مرحبا بكم🦈 #aluminum #aluminum #المغرب #الجزائر #تونس🇹🇳 #المغرب🇲🇦تونس🇹🇳الجزائر🇩🇿 #مراكش #marrake</t>
  </si>
  <si>
    <t xml:space="preserve">https://www.tiktok.com/@ideal_aluminium_senegal1/video/7637541022217686292</t>
  </si>
  <si>
    <t xml:space="preserve">ideal_aluminium_senegal1</t>
  </si>
  <si>
    <t xml:space="preserve">Baie vitrée Coulissante pour vos Salon #ideal_aluminium_senegal </t>
  </si>
  <si>
    <t xml:space="preserve">https://www.tiktok.com/@novabuildinga/video/7198829318548622597</t>
  </si>
  <si>
    <t xml:space="preserve">novabuildinga</t>
  </si>
  <si>
    <t xml:space="preserve">cuisine moderne Aluminium 🤌🖤 #verretrempé #aluminium #cuisinealuminium #architecturedesign #decoration #trempé #verre #aluminumwiretree #marocaine🇲🇦 #maroc #arc</t>
  </si>
  <si>
    <t xml:space="preserve">https://www.tiktok.com/@penealuminiumtrading/video/7695792782836813076</t>
  </si>
  <si>
    <t xml:space="preserve">penealuminiumtrading</t>
  </si>
  <si>
    <t xml:space="preserve">Poignées avec le tige de transmission disponible sur tous les dimension de 80cm à 140cm sécurisé vos portes et vos fenêtres de 2 à 4 points de verrouillage au 7</t>
  </si>
  <si>
    <t xml:space="preserve">https://www.tiktok.com/@arabianart1/video/7551886369250020626</t>
  </si>
  <si>
    <t xml:space="preserve">arabianart1</t>
  </si>
  <si>
    <t xml:space="preserve">baie vitrée coulissante en pvc SCHONLINE gris anthracite a l’extérieur blanc a l’intérieur #menuiserie #pvc #schonline #algeria #viral </t>
  </si>
  <si>
    <t xml:space="preserve">https://www.tiktok.com/@atelier_el_jami/video/7639876984771841288</t>
  </si>
  <si>
    <t xml:space="preserve">🚨moustiquaire 🦟accordéon aluminium  ✅موستكير 🦟ألمنيوم يمنع دخول الحشرات  و الناموس❌و يخليكً تحل نوافذ و بالك هاني 👍 [tel] إتصال و الإستفسار  #moustique #couliss</t>
  </si>
  <si>
    <t xml:space="preserve">https://www.tiktok.com/@vfjconstruction/video/7589974535428967692</t>
  </si>
  <si>
    <t xml:space="preserve">vfjconstruction</t>
  </si>
  <si>
    <t xml:space="preserve">Confier son projet, c’est choisir la sérénité. VFJ Construction vous accompagne avec professionnalisme, qualité et respect des engagements. Faites le choix de l</t>
  </si>
  <si>
    <t xml:space="preserve">https://www.tiktok.com/@glass_systems/video/7631175754889579779</t>
  </si>
  <si>
    <t xml:space="preserve">Pince de réglage garde-corps #railing #gardecorps </t>
  </si>
  <si>
    <t xml:space="preserve">https://www.tiktok.com/@abderrahim0666177187/video/7666128691373739285</t>
  </si>
  <si>
    <t xml:space="preserve">abderrahim0666177187</t>
  </si>
  <si>
    <t xml:space="preserve">Placard cuisine en aluminium #viral #marrakech #marocaine🇲🇦 </t>
  </si>
  <si>
    <t xml:space="preserve">https://www.tiktok.com/@aljannat_interiors/video/7595120715603463444</t>
  </si>
  <si>
    <t xml:space="preserve">aljannat_interiors</t>
  </si>
  <si>
    <t xml:space="preserve">Ultra narrow Aluminium Sliding Door  / Partition Design/ Interior Door 🚪  #AlJannatInteriors #HomeRenovation #fyppppppppppppppppppppppp #viralvideo </t>
  </si>
  <si>
    <t xml:space="preserve">https://www.tiktok.com/@jaouadmachachi/video/6987434011199065350</t>
  </si>
  <si>
    <t xml:space="preserve">placo #doublage #acoustique #thermique #isolation</t>
  </si>
  <si>
    <t xml:space="preserve">https://www.tiktok.com/@aluminium.design.top/video/7569007421671214347</t>
  </si>
  <si>
    <t xml:space="preserve">aluminium.design.top</t>
  </si>
  <si>
    <t xml:space="preserve">مطبخ عصري جديد بلون الألمنيوم الأصلي والأسود تحت الكاسكيطة ياسلام#المطابخ_الحديثة_الرائعة#مطبخي #marocaine🇲🇦 #aluminium #tendencia </t>
  </si>
  <si>
    <t xml:space="preserve">https://www.tiktok.com/@philipeyeo/video/7370670716632517920</t>
  </si>
  <si>
    <t xml:space="preserve">philipeyeo</t>
  </si>
  <si>
    <t xml:space="preserve">#comment placé une baie vitrée #btp </t>
  </si>
  <si>
    <t xml:space="preserve">https://www.tiktok.com/@groupmaisondelux/video/7236135005322333446</t>
  </si>
  <si>
    <t xml:space="preserve">groupmaisondelux</t>
  </si>
  <si>
    <t xml:space="preserve">fenêtre coulissante 2 vantaux en aluminium TPR  #group_maison_delux #porte #fenêtre #aluminum #pvc #glass #architecte #architecture  #algeria #algerie #annaba #</t>
  </si>
  <si>
    <t xml:space="preserve">https://www.tiktok.com/@design_elb_alu/video/7099025832982662405</t>
  </si>
  <si>
    <t xml:space="preserve">design_elb_alu</t>
  </si>
  <si>
    <t xml:space="preserve">✨ Cuisine Modern En Aluminium Gris ✨  Pour plus d’information contactez Nous sur : Tél: [tel] E-mail: fatahelbalghiti@gmail.com  #cuisine #modern #Aluminium #Me</t>
  </si>
  <si>
    <t xml:space="preserve">https://www.tiktok.com/@mo_jabbar_/video/7537454952147422520</t>
  </si>
  <si>
    <t xml:space="preserve">mo_jabbar_</t>
  </si>
  <si>
    <t xml:space="preserve">Nouvelle façade + panneau publicitaire installé à Casablanca  🖼️ #Casablanca #Maroc #facade #panneaupublicitaire #enseigne #pub #publicité #impression #design #</t>
  </si>
  <si>
    <t xml:space="preserve">https://www.tiktok.com/@successmanagementafrica/video/7643370699502963989</t>
  </si>
  <si>
    <t xml:space="preserve">successmanagementafrica</t>
  </si>
  <si>
    <t xml:space="preserve">Vous rêvez d'un gain de place maximal et d'une luminosité XXL ? ✨ La baie vitrée ou porte oscillo-coulissante en PVC est LA solution idéale ! Pourquoi on l'ador</t>
  </si>
  <si>
    <t xml:space="preserve">https://www.tiktok.com/@aluminooo/video/7614644169205648660</t>
  </si>
  <si>
    <t xml:space="preserve">Installation moustiquaire aluminium gris ##moustiquaire##maroc##🇲🇦##aluminium 📍🇲🇦🇲🇦🇲🇦 ☎️contact sur WhatsApp [tel] </t>
  </si>
  <si>
    <t xml:space="preserve">https://www.tiktok.com/@aluminiumomar/video/7102142757665262854</t>
  </si>
  <si>
    <r>
      <rPr>
        <sz val="10"/>
        <rFont val="Arial"/>
        <family val="0"/>
        <charset val="1"/>
      </rPr>
      <t xml:space="preserve">Cuisine moderne aluminium gris pour plus d'informations contactez moi par téléphone ou par whatsapp📱 [tel]📱#maroc #casa #morocco #fyp #fyp</t>
    </r>
    <r>
      <rPr>
        <sz val="10"/>
        <rFont val="WenQuanYi Zen Hei"/>
        <family val="2"/>
      </rPr>
      <t xml:space="preserve">シ </t>
    </r>
    <r>
      <rPr>
        <sz val="10"/>
        <rFont val="Arial"/>
        <family val="0"/>
        <charset val="1"/>
      </rPr>
      <t xml:space="preserve">#aluminum #مطابخ #مط</t>
    </r>
  </si>
  <si>
    <t xml:space="preserve">https://www.tiktok.com/@rais48alum/video/7573428757013302548</t>
  </si>
  <si>
    <t xml:space="preserve">rais48alum</t>
  </si>
  <si>
    <t xml:space="preserve">FENÊTRE ALUMINIUM COMPACTO ☑️👌🏼 #menuiserie #aluminum #الإتقان #oujda #marocaine🇲🇦 </t>
  </si>
  <si>
    <t xml:space="preserve">https://www.tiktok.com/@aluminooo/video/7696671295659969800</t>
  </si>
  <si>
    <t xml:space="preserve">Garde corps gris clair  verre Stadip  #gardecorps #balcon #villa #tiktok #maroc  📍🇲🇦🇲🇦🇲🇦🇲🇦🇲🇦</t>
  </si>
  <si>
    <t xml:space="preserve">https://www.tiktok.com/@abridalalu/video/7243177486165527813</t>
  </si>
  <si>
    <t xml:space="preserve">abridalalu</t>
  </si>
  <si>
    <t xml:space="preserve">ABRIDAL Fabrication installation Menuiserie aluminium #bache #etanchieté #villa #Casablanca #Maroc #menuiseriealuminium #architecture #cafe #restaurant #terasse</t>
  </si>
  <si>
    <t xml:space="preserve">https://www.tiktok.com/@rais48alum/video/7570812215645719828</t>
  </si>
  <si>
    <t xml:space="preserve">#نجارةالالمنيوم #menuiserie #aluminum #oujda #marocaine🇲🇦 </t>
  </si>
  <si>
    <t xml:space="preserve">https://www.tiktok.com/@fabrimartug/video/7610283138920533265</t>
  </si>
  <si>
    <t xml:space="preserve">fabrimartug</t>
  </si>
  <si>
    <t xml:space="preserve">🪟🚪✨ MODERN ALUMINIUM WINDOWS &amp; DOORS Designed for today’s homes and offices, our modern aluminium windows and doors combine style, durability, and smooth perfor</t>
  </si>
  <si>
    <t xml:space="preserve">https://www.tiktok.com/@markglassoffciel/video/7696653918490742036</t>
  </si>
  <si>
    <t xml:space="preserve">https://www.tiktok.com/@benmoussa.alu/video/7670243397512482055</t>
  </si>
  <si>
    <t xml:space="preserve">benmoussa.alu</t>
  </si>
  <si>
    <t xml:space="preserve">حولنا balcon من شكل عادي إلى تصميم عصري وأنيق 😍 Garde-corps en verre sur mesure. للحجز والاستفسار: 23804794-58204360 #gardecorps #aluminium #Tunisie #turkey #fy</t>
  </si>
  <si>
    <t xml:space="preserve">https://www.tiktok.com/@workandprayalu_/video/7698853143253175558</t>
  </si>
  <si>
    <t xml:space="preserve">workandprayalu_</t>
  </si>
  <si>
    <t xml:space="preserve">#portealuminium #portedouche #portetoilette #menuiseriealuminiumlome #lome </t>
  </si>
  <si>
    <t xml:space="preserve">https://www.tiktok.com/@kajobaashraf/video/7698334176356879636</t>
  </si>
  <si>
    <t xml:space="preserve">https://www.tiktok.com/@markglassoffciel/video/7696844197629889813</t>
  </si>
  <si>
    <t xml:space="preserve">https://www.tiktok.com/@markglassoffciel/video/7696091261941320980</t>
  </si>
  <si>
    <t xml:space="preserve">https://www.tiktok.com/@balustradealu/video/7668620563627183393</t>
  </si>
  <si>
    <t xml:space="preserve">balustradealu</t>
  </si>
  <si>
    <t xml:space="preserve">PRIX DIRECT USINE💥 Veuillez visiter notre site internet: www.balustradealu.fr 📄 Devis personnalisé gratuit en moins de 2 heures ! 🚚 Envoie dans toute la France </t>
  </si>
  <si>
    <t xml:space="preserve">https://www.tiktok.com/@eradtravaux/video/7461977506778795270</t>
  </si>
  <si>
    <t xml:space="preserve">eradtravaux</t>
  </si>
  <si>
    <t xml:space="preserve">Façades avec integration d'éclairage LED discret dans les joints  #villamaroc #revêtementfaçade #maroc </t>
  </si>
  <si>
    <t xml:space="preserve">https://www.tiktok.com/@kawner1/video/7638412419731180820</t>
  </si>
  <si>
    <t xml:space="preserve">https://www.tiktok.com/@zaki.aluminiumpro/video/7497776869987634438</t>
  </si>
  <si>
    <t xml:space="preserve">#menuiserie #aluminium #casablanca #morocco🇲🇦 #redcity #cusine #balcon #placards #شعب_الصيني_ماله_حل😂😂 </t>
  </si>
  <si>
    <t xml:space="preserve">https://www.tiktok.com/@med.alu/video/7609401279755898133</t>
  </si>
  <si>
    <t xml:space="preserve">med.alu</t>
  </si>
  <si>
    <t xml:space="preserve">تحب تركب store و ما عندكش caisson..  احنا عندنا ليك الحل في monobloc aluminium apparent..  #tunisia🇹🇳_algeria🇩🇿_maroc🇲🇦 #menuiseriealuminium #architecture #crea</t>
  </si>
  <si>
    <t xml:space="preserve">https://www.tiktok.com/@latelierduverre/video/7641676199206358293</t>
  </si>
  <si>
    <t xml:space="preserve">Menuiserie aluminium Réalisation signée ADV #menuiserie #designinterior #viralvideo </t>
  </si>
  <si>
    <t xml:space="preserve">https://www.tiktok.com/@m.r.aluminium/video/7667919939243625760</t>
  </si>
  <si>
    <t xml:space="preserve">m.r.aluminium</t>
  </si>
  <si>
    <t xml:space="preserve">تغليف الواجهات# الكوبوند#3D💫💯💯🇲🇦💥 #المنيوم#الجوده والاتقان#طنجه تطوان والنواحي شمال المغرب#مرحبا بالجميع [tel]</t>
  </si>
  <si>
    <t xml:space="preserve">https://www.tiktok.com/@agentiamo.fenetres/video/7664200641706872096</t>
  </si>
  <si>
    <t xml:space="preserve">agentiamo.fenetres</t>
  </si>
  <si>
    <t xml:space="preserve">Vous avez un chantier de garde-corps en verre ? Nous avons les profils en stock et nous fabriquons le vitrage sur mesure en quelques jours. Une solution fiable,</t>
  </si>
  <si>
    <t xml:space="preserve">https://www.tiktok.com/@lkhadrawiii/video/7696197972534545682</t>
  </si>
  <si>
    <t xml:space="preserve">lkhadrawiii</t>
  </si>
  <si>
    <t xml:space="preserve">#aluminium #aménagement #eljadida🇲🇦 #دكالة_بلاد_الخيرات❤️💪💯 #mdf             lkhadrawii 🧰كيقدم ليكم آخر مكاين في جميع اعمال  الزجاج  والالومنيوم MDF  ديكور وتصم</t>
  </si>
  <si>
    <t xml:space="preserve">https://www.tiktok.com/@kajobaashraf/video/7698976671206100245</t>
  </si>
  <si>
    <t xml:space="preserve">https://www.tiktok.com/@markglassoffciel/video/7698142277788503317</t>
  </si>
  <si>
    <t xml:space="preserve">https://www.tiktok.com/@miroiteriepaca/video/7269354445786434849</t>
  </si>
  <si>
    <t xml:space="preserve">miroiteriepaca</t>
  </si>
  <si>
    <t xml:space="preserve">Pose de fenêtres et baie vitrée porte coulissante partie 2 💪#interior #vitre #architect #design #service #maison #miroiterie #baievitree #portecoulissante #port</t>
  </si>
  <si>
    <t xml:space="preserve">https://www.tiktok.com/@alfred_6254/video/7696220771433155862</t>
  </si>
  <si>
    <t xml:space="preserve">alfred_6254</t>
  </si>
  <si>
    <t xml:space="preserve">Conseils menuiserie alu pour de belles finitions #tiktokcotedivoire🇨🇮 #tiktokabidjan🇨🇮 #architectdinterieur #decorationinterieur #aluminium </t>
  </si>
  <si>
    <t xml:space="preserve">https://www.tiktok.com/@agentiamo.fenetres/video/7659428431091731744</t>
  </si>
  <si>
    <t xml:space="preserve">🚨 Derniers mètres disponibles avant la fermeture de l’usine ! Vous avez un chantier urgent ? Un garde-corps en verre à terminer avant les vacances ? Nous avons </t>
  </si>
  <si>
    <t xml:space="preserve">https://www.tiktok.com/@c3s.soprim.sau/video/7646499643680886034</t>
  </si>
  <si>
    <t xml:space="preserve">c3s.soprim.sau</t>
  </si>
  <si>
    <t xml:space="preserve">GARDE CORPS POUR VOS BLACONS EN VERRE 10-12-16 MM. NOUS AVONS AUSSI LES VERRES TRIPLEX EN EXCELLENTE QUALITÉ ET RESISTANCE. Il suffit de nous contacter sur le 7</t>
  </si>
  <si>
    <t xml:space="preserve">https://www.tiktok.com/@marlumelt/video/7615384918843002132</t>
  </si>
  <si>
    <t xml:space="preserve">marlumelt</t>
  </si>
  <si>
    <t xml:space="preserve">ايس مجرد مطبخ بل مستوى أخر من الألمنيوم بايادي مغربية#kitchendesign #اكسيسوارت_المطابخ #marlum #cuisinealuminium </t>
  </si>
  <si>
    <t xml:space="preserve">https://www.tiktok.com/@zaki.aluminiumpro/video/7473204393622490423</t>
  </si>
  <si>
    <t xml:space="preserve">https://www.tiktok.com/@soreba68/video/7621271224563354902</t>
  </si>
  <si>
    <t xml:space="preserve">soreba68</t>
  </si>
  <si>
    <t xml:space="preserve">Troisième Partie - Pose d’un vitrage d’angle Un projet à forte technicité 🔍 ✔ Triple vitrage ✔ Angle aigu collé ✔ Baie coulissante accolée 🔐 Une porte d’entrée </t>
  </si>
  <si>
    <t xml:space="preserve">https://www.tiktok.com/@arqfree.constructora/video/7597473891086322965</t>
  </si>
  <si>
    <t xml:space="preserve">arqfree.constructora</t>
  </si>
  <si>
    <t xml:space="preserve">✨🏡 AGAR Residence (615m²): Marruecos ya tiene su casa ícono. Arquitectura posmoderna con fachada escultural y detalles que se sienten lujo real. 🌍 Diseñado por </t>
  </si>
  <si>
    <t xml:space="preserve">https://www.tiktok.com/@najat.dou/video/7667188152544546056</t>
  </si>
  <si>
    <t xml:space="preserve">najat.dou</t>
  </si>
  <si>
    <t xml:space="preserve">https://www.tiktok.com/@ora.glass.and.alu/video/7625508559731657991</t>
  </si>
  <si>
    <t xml:space="preserve">ora.glass.and.alu</t>
  </si>
  <si>
    <t xml:space="preserve">we do make aluminium sliding doors high quality aluminium sliding doors prices range from K1,500,000....from different sizes #luxurylife #Malawi #aluminium #sli</t>
  </si>
  <si>
    <t xml:space="preserve">https://www.tiktok.com/@groupmaisondelux/video/7244276126569286917</t>
  </si>
  <si>
    <t xml:space="preserve">baie vitrée coulissante 2 rails 4 vantaux by #Group_Maison_DeLux  #algeria🇩🇿 #algerienne #alger #Oran #annaba #Constantine #mila  #homedesign #homedecor #archit</t>
  </si>
  <si>
    <t xml:space="preserve">https://www.tiktok.com/@alugabon/video/7549276688790654214</t>
  </si>
  <si>
    <t xml:space="preserve">porte coulissante#DIY #baievitrée #AvantApres #videoviral #vu </t>
  </si>
  <si>
    <t xml:space="preserve">https://www.tiktok.com/@elazri.service1/video/7615375482791398663</t>
  </si>
  <si>
    <t xml:space="preserve">elazri.service1</t>
  </si>
  <si>
    <t xml:space="preserve">Donnez à votre espace un style moderne avec l’effet béton. Finition élégante, résistante et tendance pour murs et façades. 📍 Travail professionnel – Résultat ga</t>
  </si>
  <si>
    <t xml:space="preserve">https://www.tiktok.com/@golden.hand.aluminium/video/7606095799399058708</t>
  </si>
  <si>
    <t xml:space="preserve">golden.hand.aluminium</t>
  </si>
  <si>
    <t xml:space="preserve">golden Hand Aluminium 🪟  🎥 شوفو مليح هاد grand baie vitrée coulissant 3 rail الكبيرة 👌 مشـي غير حجم… المهم هو النوعية لي راها داخلة فيها 👇 كاين لي يديرها رخيصة…</t>
  </si>
  <si>
    <t xml:space="preserve">https://www.tiktok.com/@tm_aluminium/video/7666909588154928405</t>
  </si>
  <si>
    <t xml:space="preserve">tm_aluminium</t>
  </si>
  <si>
    <t xml:space="preserve">##TMAluminium #aluminium  #menuiseriealuminium  #agadir  #maroc </t>
  </si>
  <si>
    <t xml:space="preserve">https://www.tiktok.com/@greenbaie.porte.f/video/7252711317927234842</t>
  </si>
  <si>
    <t xml:space="preserve">greenbaie.porte.f</t>
  </si>
  <si>
    <t xml:space="preserve">#baievitree #aluminum #devisgratuit #menuiserie #pourtoi #coulissant </t>
  </si>
  <si>
    <t xml:space="preserve">https://www.tiktok.com/@zaki.aluminiumpro/video/7495852845179161861</t>
  </si>
  <si>
    <t xml:space="preserve">#menuiserie #aluminium #casablanca #morocco🇲🇦 #redcity #cusine #balcon #placards #maroc🇲🇦 </t>
  </si>
  <si>
    <t xml:space="preserve">https://www.tiktok.com/@balustradealu/video/7696917555516067105</t>
  </si>
  <si>
    <t xml:space="preserve">Merci énormément grâce a nos réseaux sociaux vous nous donner la force et merci de votre confiance 🙏  Veuillez visiter notre site internet:  www.balustradealu.f</t>
  </si>
  <si>
    <t xml:space="preserve">https://www.tiktok.com/@kamelkamel1597/video/7361491865608277281</t>
  </si>
  <si>
    <t xml:space="preserve">kamelkamel1597</t>
  </si>
  <si>
    <t xml:space="preserve">#toustypesdefermetures </t>
  </si>
  <si>
    <t xml:space="preserve">https://www.tiktok.com/@aluminiumziyou/video/7697031365933665556</t>
  </si>
  <si>
    <t xml:space="preserve">aluminiumziyou</t>
  </si>
  <si>
    <t xml:space="preserve">#alumunium #aluminium #fes #maroc </t>
  </si>
  <si>
    <t xml:space="preserve">https://www.tiktok.com/@aluminum_profile_factory/video/7675650420643056927</t>
  </si>
  <si>
    <t xml:space="preserve">👉We provide custom extruded aluminum profiles for the construction and machinery industries. 🏭#aluminumOEM #aluminumODM #aluminumfactory #aluminumprofile #alumi</t>
  </si>
  <si>
    <t xml:space="preserve">https://www.tiktok.com/@hamdja_solution/video/7566307579417070904</t>
  </si>
  <si>
    <t xml:space="preserve">hamdja_solution</t>
  </si>
  <si>
    <t xml:space="preserve">Tout disponible pour vos services ♻️#🇬🇦🇬🇦🇬🇦🇬🇦🇬🇦🇬🇦gabon #fyp #gabonconstruction #baievitrée </t>
  </si>
  <si>
    <t xml:space="preserve">https://www.tiktok.com/@willy_alu_pvc/video/7698129509475798273</t>
  </si>
  <si>
    <t xml:space="preserve">-là #willy_alu_pvc  ##algerie🇩🇿_maroc🇲🇦_tunisie🇹🇳  #menuiserie_aluminium  #اكسبلور #cejour-là </t>
  </si>
  <si>
    <t xml:space="preserve">https://www.tiktok.com/@profilagedusud/video/7198224650499935494</t>
  </si>
  <si>
    <t xml:space="preserve">Mur rideau haut de gamme est disponible dans notre showroom : du Lundi au Samedi De 9:00 ==&gt; à 19:00 #marocain #maroc #marocaine #morocco #casablanca #marrakech</t>
  </si>
  <si>
    <t xml:space="preserve">https://www.tiktok.com/@zaki.aluminiumpro/video/7493644905701477638</t>
  </si>
  <si>
    <t xml:space="preserve">https://www.tiktok.com/@rais48alum/video/7483212947876056326</t>
  </si>
  <si>
    <t xml:space="preserve">FENÊTRE COULISSANT EN ALUMINIUM 🤎🪟 #نجارةالالمنيوم #menuiserie #aluminum #inox #fenêtre #porte #oujda_48_city #marocaine🇲🇦 #ramadan2025 #fyp #viral_video #fpppp</t>
  </si>
  <si>
    <t xml:space="preserve">https://www.tiktok.com/@jimao_aluminum/video/7629923182157303070</t>
  </si>
  <si>
    <t xml:space="preserve">jimao_aluminum</t>
  </si>
  <si>
    <t xml:space="preserve">Looking for a reliable aluminum profile factory? Here we are! 🌟Foshan Jimao Aluminum, a large-scale aluminum profile production base 🌟We offer professional mold</t>
  </si>
  <si>
    <t xml:space="preserve">https://www.tiktok.com/@aluminium.prod/video/7534411830643494166</t>
  </si>
  <si>
    <t xml:space="preserve">aluminium.prod</t>
  </si>
  <si>
    <t xml:space="preserve">🇹🇳 Baie-vitrée sur Mesure » Baie Coulissante  Grande baie vitrée 4 vantaux ✌🏻#aluminum #tpr #aluco </t>
  </si>
  <si>
    <t xml:space="preserve">https://www.tiktok.com/@talaiy292aluminium/video/7698101226092662024</t>
  </si>
  <si>
    <t xml:space="preserve">talaiy292aluminium</t>
  </si>
  <si>
    <t xml:space="preserve">#cuisine_TALAI_ALUMINIUM_bouznika_maroc </t>
  </si>
  <si>
    <t xml:space="preserve">https://www.tiktok.com/@vitraf.alu85/video/7635388344087727382</t>
  </si>
  <si>
    <t xml:space="preserve">vitraf.alu85</t>
  </si>
  <si>
    <t xml:space="preserve">Baie vitrée coulissante #VitraFAlu #RampeEscalier #AluminiumCI #baievitrée </t>
  </si>
  <si>
    <t xml:space="preserve">https://www.tiktok.com/@zins.aluminium/video/7582297757529033995</t>
  </si>
  <si>
    <t xml:space="preserve">zins.aluminium</t>
  </si>
  <si>
    <t xml:space="preserve">#vitre #aluminium #baie #coulissante </t>
  </si>
  <si>
    <t xml:space="preserve">https://www.tiktok.com/@dalakitmaroc/video/7668382998982577426</t>
  </si>
  <si>
    <t xml:space="preserve">dalakitmaroc</t>
  </si>
  <si>
    <t xml:space="preserve">🏗️ **Expert en Installation de Toitures Dalakit &amp; Menuiserie Aluminium au Maroc** 🇲🇦 Donnez une nouvelle vie à votre maison ou à votre commerce grâce à notre ex</t>
  </si>
  <si>
    <t xml:space="preserve">https://www.tiktok.com/@workandprayalu_/video/7696255606482586901</t>
  </si>
  <si>
    <t xml:space="preserve">#menuiseriealuminiumlome #cuisineamericaine #cuisinealutogo #menuiseriealuminium #togo228 </t>
  </si>
  <si>
    <t xml:space="preserve">https://www.tiktok.com/@markglassoffciel/video/7696952034934672646</t>
  </si>
  <si>
    <t xml:space="preserve">https://www.tiktok.com/@aluminumwindows_/video/7697022029513477397</t>
  </si>
  <si>
    <t xml:space="preserve">aluminumwindows_</t>
  </si>
  <si>
    <t xml:space="preserve">Véranda en aluminium, modèle « Confort »#🇲🇦 #tanger #maroc </t>
  </si>
  <si>
    <t xml:space="preserve">https://www.tiktok.com/@cassflo.renov/video/7567025379576270102</t>
  </si>
  <si>
    <t xml:space="preserve">cassflo.renov</t>
  </si>
  <si>
    <t xml:space="preserve">BAIE VITRÉE de 4m de long !!😱 Aujourd’hui l’entreprise CFD nous a installer notre baie vitrée en 3 vantaux, tous coulissants.🪟 Hésitez à pas à nous suivre, et à</t>
  </si>
  <si>
    <t xml:space="preserve">https://www.tiktok.com/@aluminooo/video/7628593579178626325</t>
  </si>
  <si>
    <t xml:space="preserve">Installation cabine de douche, Verre Trempé sur Casa  #salledebain #bathroom #appartement #hotel #maroc </t>
  </si>
  <si>
    <t xml:space="preserve">https://www.tiktok.com/@kajobaashraf/video/7698968323337538836</t>
  </si>
  <si>
    <t xml:space="preserve">https://www.tiktok.com/@bossde20pige/video/7666761807339572512</t>
  </si>
  <si>
    <t xml:space="preserve">bossde20pige</t>
  </si>
  <si>
    <t xml:space="preserve">qui a dit que les femme peuvent pas être dans la construction ?  #mulhouse #btp #gardecorps #verre #villa </t>
  </si>
  <si>
    <t xml:space="preserve">https://www.tiktok.com/@jokerduchantier/video/7578620160332909831</t>
  </si>
  <si>
    <t xml:space="preserve">jokerduchantier</t>
  </si>
  <si>
    <t xml:space="preserve">Avec Mourad El Karima, on parle des façades de Casablanca : ce qui embellit la ville… et ce qui la gâche. La version complète est sur YouTube. #Casablanca #Urba</t>
  </si>
  <si>
    <t xml:space="preserve">https://www.tiktok.com/@hocine_boutera/video/7603447634988141842</t>
  </si>
  <si>
    <t xml:space="preserve">hocine_boutera</t>
  </si>
  <si>
    <t xml:space="preserve">Baie vitrée coulissante – Système Zéro Seuil B77 🔹 Structure en aluminium de haute qualité 🔹 Accessoires en inox pour une durabilité maximale 🔹 Design moderne e</t>
  </si>
  <si>
    <t xml:space="preserve">https://www.tiktok.com/@skymaxmaroc.ma/video/7577801253753867527</t>
  </si>
  <si>
    <t xml:space="preserve">Habillage façade bardage composite wpc maroc disponible chez nous. SKYMAX MAROC votre fournisseur de matériaux d'habillage et revêtement au maroc. Tel: [tel] Ba</t>
  </si>
  <si>
    <t xml:space="preserve">https://www.tiktok.com/@aluminum.youssef8/video/7698854300214103317</t>
  </si>
  <si>
    <t xml:space="preserve">‪+212 668‑754629‬❤️‍🔥☎️ . . . #aluminum #maroc #aluminiumfabrication #aluminium #kitchendesign </t>
  </si>
  <si>
    <t xml:space="preserve">https://www.tiktok.com/@nuhzak.alu/video/7690579514568559890</t>
  </si>
  <si>
    <t xml:space="preserve">nuhzak.alu</t>
  </si>
  <si>
    <t xml:space="preserve">Baie coulissante 6 venteux, plus d’infos +221 71 047 70 70 porte aluminium coulissante #senegal #dakar #aluminium #fenetrecoulissante #nuhzakalu </t>
  </si>
  <si>
    <t xml:space="preserve">https://www.tiktok.com/@sarl_asart_group/video/7611704745140522261</t>
  </si>
  <si>
    <t xml:space="preserve">sarl_asart_group</t>
  </si>
  <si>
    <t xml:space="preserve">Baie vitrée coulissante à 5 rails  Produit ideal pour vos facçades , terrasse balcon ou séparation entre deux espaces pour plus de details contactez nous sur le</t>
  </si>
  <si>
    <t xml:space="preserve">https://www.tiktok.com/@aluminum.factory.nan/video/7691241820486962440</t>
  </si>
  <si>
    <t xml:space="preserve">🔥Aluminum profile extrusion factory in China, specializing in custom production of architectural and industrial aluminum profiles. Send your drawings 👉 Get a fr</t>
  </si>
  <si>
    <t xml:space="preserve">https://www.tiktok.com/@zemzemalu/video/7656964287990172949</t>
  </si>
  <si>
    <t xml:space="preserve">zemzemalu</t>
  </si>
  <si>
    <t xml:space="preserve">Garde-corps moderne en verre feuilleté sécurit 8x2. Sécurité maximale, design épuré et finition haut de gamme✨🛠️ . . . #gardecorps #decoration  #tunisia #design</t>
  </si>
  <si>
    <t xml:space="preserve">https://www.tiktok.com/@skymaxmaroc.ma/video/7621287915640884500</t>
  </si>
  <si>
    <t xml:space="preserve">BARDAGE COMPOSITE :  Habillage façade bardage composite wpc maroc disponible chez nous.  SKYMAX MAROC votre fournisseur de matériaux d'habillage et revêtement a</t>
  </si>
  <si>
    <t xml:space="preserve">https://www.tiktok.com/@aluminium.design/video/7374536684614208774</t>
  </si>
  <si>
    <t xml:space="preserve">aluminium.design</t>
  </si>
  <si>
    <t xml:space="preserve">#aluminum #maroc #temara #rabat #casa #casablanca #cuisine #porte #fenetre #bureau Aluminium menuiserie bureau.cuisine.fenetre... Haute gamme/confort/économie/k</t>
  </si>
  <si>
    <t xml:space="preserve">https://www.tiktok.com/@superdecoplus/video/7516231048783547653</t>
  </si>
  <si>
    <t xml:space="preserve">superdecoplus</t>
  </si>
  <si>
    <t xml:space="preserve">Menuiserie métallique Aluminium #peinture #menuisieriealu #bukinafaso🇧🇫 #cotedivoire🇨🇮 #STAFF #workhard #qualite #stores #menuiserie </t>
  </si>
  <si>
    <t xml:space="preserve">https://www.tiktok.com/@willy_alu_pvc/video/7696143835910507797</t>
  </si>
  <si>
    <t xml:space="preserve">#algerie🇩🇿_maroc🇲🇦_tunisie🇹🇳  #willyaluetpvc  #متابعه_ولايك_واكسبلور_فضلا_ليس_امر  #menuiserie_aluminium </t>
  </si>
  <si>
    <t xml:space="preserve">https://www.tiktok.com/@altavitmaroc/video/7059120526685490433</t>
  </si>
  <si>
    <t xml:space="preserve">altavitmaroc</t>
  </si>
  <si>
    <t xml:space="preserve">مطبخ ألمنيوم أسود !  #fyp #morocco #foryou #aluminium #kitchen #مطبخ #decor #decoration #ديكور #foryoupage #like #share</t>
  </si>
  <si>
    <t xml:space="preserve">https://www.tiktok.com/@foissacfermetures/video/7576614049094307094</t>
  </si>
  <si>
    <t xml:space="preserve">foissacfermetures</t>
  </si>
  <si>
    <t xml:space="preserve">Voici 5 raisons d’adopter la baie vitrée coulissante !  #constructionmaison #renovation #baievitrée #menuisier #fenetres </t>
  </si>
  <si>
    <t xml:space="preserve">https://www.tiktok.com/@skymaxmaroc.ma/video/7613151549237284114</t>
  </si>
  <si>
    <t xml:space="preserve">https://www.tiktok.com/@markglassoffciel/video/7698337035614047509</t>
  </si>
  <si>
    <t xml:space="preserve">https://www.tiktok.com/@mo7tarif_tpr_algerie/video/7698747914188819733</t>
  </si>
  <si>
    <t xml:space="preserve">mo7tarif_tpr_algerie</t>
  </si>
  <si>
    <t xml:space="preserve">Menuiserie aluminium TPR.              #المحترف #tpr </t>
  </si>
  <si>
    <t xml:space="preserve">https://www.tiktok.com/@nassimtaamourt/video/7697644058310708486</t>
  </si>
  <si>
    <t xml:space="preserve">https://www.tiktok.com/@skymaxmaroc.ma/video/7603331941487725831</t>
  </si>
  <si>
    <t xml:space="preserve">BARDAGE COMPOSITE   Habillage façade bardage composite wpc maroc disponible chez nous.  SKYMAX MAROC votre fournisseur de matériaux d'habillage et revêtement au</t>
  </si>
  <si>
    <t xml:space="preserve">https://www.tiktok.com/@kajobaashraf/video/7698974302858792212</t>
  </si>
  <si>
    <t xml:space="preserve">https://www.tiktok.com/@r__i__d__o__3.0/video/7698428672142806324</t>
  </si>
  <si>
    <t xml:space="preserve">r__i__d__o__3.0</t>
  </si>
  <si>
    <t xml:space="preserve">Master la Menuiserie Aluminium </t>
  </si>
  <si>
    <t xml:space="preserve">https://www.tiktok.com/@zghaluminium_sg/video/7698655034355027218</t>
  </si>
  <si>
    <t xml:space="preserve">zghaluminium_sg</t>
  </si>
  <si>
    <t xml:space="preserve">Our aluminium sliding doors are one of the most affordable ways to maximise space, especially in areas where a traditional swing door would take up too much roo</t>
  </si>
  <si>
    <t xml:space="preserve">https://www.tiktok.com/@intersolar57/video/7606122391126887683</t>
  </si>
  <si>
    <t xml:space="preserve">intersolar57</t>
  </si>
  <si>
    <t xml:space="preserve">Motorisation d’un volet roulant d’une baie vitrée coulissante. Mon client avait une manœuvre par treuil, et malgré ça, il éprouvait des difficultés à manœuvrer </t>
  </si>
  <si>
    <t xml:space="preserve">https://www.tiktok.com/@imad10430/video/7698418359502654738</t>
  </si>
  <si>
    <t xml:space="preserve">imad10430</t>
  </si>
  <si>
    <t xml:space="preserve">#creatorsearchinsights #aluminiummenuiserie #الشعب_الصيني_ماله_حل😂 @Chawki Kl </t>
  </si>
  <si>
    <t xml:space="preserve">https://www.tiktok.com/@glanium.engineering/video/7699131060633734401</t>
  </si>
  <si>
    <t xml:space="preserve">glanium.engineering</t>
  </si>
  <si>
    <t xml:space="preserve">In China aluminium windows and doors. Premium. World class quality. </t>
  </si>
  <si>
    <t xml:space="preserve">https://www.tiktok.com/@hicham.el.jaaouan/video/7630447461441670420</t>
  </si>
  <si>
    <t xml:space="preserve">hicham.el.jaaouan</t>
  </si>
  <si>
    <t xml:space="preserve">حجر تازة لتزيين الواجهات بااحجر الطبيعي #الرخام_المغربي #تزيين_المنازل #حجر_طبيعي #ديكور_مغربي #حرف_تقليدي</t>
  </si>
  <si>
    <t xml:space="preserve">https://www.tiktok.com/@successmanagementafrica/video/7635646009275616532</t>
  </si>
  <si>
    <t xml:space="preserve">Élégance et modernité avec nos baies coulissantes en alu. Gagnez en espace et profitez d'une vue panoramique. Disponible en plusieurs coloris (Noir, Gris Anthra</t>
  </si>
  <si>
    <t xml:space="preserve">https://www.tiktok.com/@couvertinealuminium/video/7624547665119841553</t>
  </si>
  <si>
    <t xml:space="preserve">couvertinealuminium</t>
  </si>
  <si>
    <t xml:space="preserve">Découvrez le processus complet de fabrication d’une couvertine en aluminium au Maroc 🇲🇦 De la matière brute jusqu’au produit fini, chaque étape est réalisée ave</t>
  </si>
  <si>
    <t xml:space="preserve">https://www.tiktok.com/@halisgroupe.offic/video/7627097652462636308</t>
  </si>
  <si>
    <t xml:space="preserve">halisgroupe.offic</t>
  </si>
  <si>
    <t xml:space="preserve">Baie vitrée coulissante Grand Mbao, cite Baobab 2 33 872 91 07  77 240 73 86  www.halisgroupe.com  halis@halisgroupe.com #baievitrée #baievitréecoulissante #bai</t>
  </si>
  <si>
    <t xml:space="preserve">https://www.tiktok.com/@alugabon/video/7652452048587296017</t>
  </si>
  <si>
    <t xml:space="preserve">N’hésitez pas de nous contacter pour tous vos projets de construction@Coach Simplice Mve ASSEKO #vues #libreville_gabon🇬🇦 #windowstyle #diy #aluminium </t>
  </si>
  <si>
    <t xml:space="preserve">https://www.tiktok.com/@design_elb_alu/video/7215238399668604166</t>
  </si>
  <si>
    <t xml:space="preserve">Cuisine Moderne Aluminium gris givré Pour plus d’information contactez Nous sur : Tél: [tel] E-mail: designelbalu@gmail.com #cuisine #modern #Aluminium #Menuise</t>
  </si>
  <si>
    <t xml:space="preserve">https://www.tiktok.com/@kajobaashraf/video/7698468843357850901</t>
  </si>
  <si>
    <t xml:space="preserve">#fyp#foryou #foryoupage #ugandatiktok #aluminum  @kajobaashraf </t>
  </si>
  <si>
    <t xml:space="preserve">https://www.tiktok.com/@archiinox/video/7656426084421897480</t>
  </si>
  <si>
    <t xml:space="preserve">archiinox</t>
  </si>
  <si>
    <t xml:space="preserve">GARDE-CORPS en verre trempé chez archiinox sécurité et élégance ✅ 📌 Alger  #gardecorps #verre #inox #dz #الشعب_الصيني_ماله_حل😂😂 </t>
  </si>
  <si>
    <t xml:space="preserve">https://www.tiktok.com/@mo9tabas/video/7629822868624395541</t>
  </si>
  <si>
    <t xml:space="preserve">mo9tabas</t>
  </si>
  <si>
    <t xml:space="preserve">DAR DARKOM  tiktomaroc #fyp #viral #explore #decoration #facade #homeimprovement #morocco #المغرب #الناظور #الشرق #الدار_البيضاء #طنجة #مغاربة_العالم #بناء_المغ</t>
  </si>
  <si>
    <t xml:space="preserve">https://www.tiktok.com/@ecodom_algerie/video/7646532692724649236</t>
  </si>
  <si>
    <t xml:space="preserve">ecodom_algerie</t>
  </si>
  <si>
    <t xml:space="preserve">Découvrez le résultat avant/après la pose de nos garde-corps en verre sur mesure. Des lignes épurées, une vue dégagée et une intégration parfaite à l'architectu</t>
  </si>
  <si>
    <t xml:space="preserve">https://www.tiktok.com/@souhailkassoum/video/7699203104578735367</t>
  </si>
  <si>
    <t xml:space="preserve">souhailkassoum</t>
  </si>
  <si>
    <t xml:space="preserve">cuisine aluminium coirtz ✔️ 🆗️ 🤝 👍 ##aluminium1 #✔️🆗️👌👍🤔 #profile #aluminiu #</t>
  </si>
  <si>
    <t xml:space="preserve">https://www.tiktok.com/@aluminium.door.ke/video/7642733170042866951</t>
  </si>
  <si>
    <t xml:space="preserve">aluminium.door.ke</t>
  </si>
  <si>
    <t xml:space="preserve">Aluminium door for bathroom #fyyyyyyyyyyyyyyyy #foryou #slidingdoor #aluminiumdoors #nairobi </t>
  </si>
  <si>
    <t xml:space="preserve">https://www.tiktok.com/@max_windoor/video/7679016847320042782</t>
  </si>
  <si>
    <t xml:space="preserve">max_windoor</t>
  </si>
  <si>
    <t xml:space="preserve">🌟 Sliding Patio Door 📍 580 W Lambert Rd Ste A, Brea, CA 92821 ✅ Thermal‑break aluminum frame, space‑saving sliding design ✅ Large glass panel, plenty of natural</t>
  </si>
  <si>
    <t xml:space="preserve">https://www.tiktok.com/@redouane_lairedj/video/7689183187926322464</t>
  </si>
  <si>
    <t xml:space="preserve">redouane_lairedj</t>
  </si>
  <si>
    <t xml:space="preserve">☎️ [tel] Voila le numéro de hbib menuiserie aluminium ✌️❤️🙏✨#menuiseriealuminium #fyy #sidibelabbes #cuisineéquipé </t>
  </si>
  <si>
    <t xml:space="preserve">https://www.tiktok.com/@vitraf.alu/video/7634865688972184853</t>
  </si>
  <si>
    <t xml:space="preserve">Bonne fête de travail à tous #VitrafAlu #BaieVitrée #FenêtreCoulissante #Djrobité #porteaccordeon </t>
  </si>
  <si>
    <t xml:space="preserve">https://www.tiktok.com/@alugabon/video/7578623714011516216</t>
  </si>
  <si>
    <t xml:space="preserve">Porte coulissante #DIY #baiesvitrées #africa #videoviral #vu </t>
  </si>
  <si>
    <t xml:space="preserve">https://www.tiktok.com/@boujamadecofacade/video/7597448717196725522</t>
  </si>
  <si>
    <t xml:space="preserve">boujamadecofacade</t>
  </si>
  <si>
    <t xml:space="preserve">#creatorsearchinsights  أحسن وأفضل ديكور للواجهات منكوش باسطا قوة وصلابة في مقاومة جميع العوامل المناخية بتصاميم أنيقة ومميزة #المغرب #boujamadecor #marocaine🇲🇦</t>
  </si>
  <si>
    <t xml:space="preserve">https://www.tiktok.com/@skymaxmaroc.ma/video/7613532550371249415</t>
  </si>
  <si>
    <t xml:space="preserve">https://www.tiktok.com/@skymaxmaroc.ma/video/7603864734177185042</t>
  </si>
  <si>
    <t xml:space="preserve">https://www.tiktok.com/@alugabon/video/7620558219865312513</t>
  </si>
  <si>
    <r>
      <rPr>
        <sz val="10"/>
        <rFont val="Arial"/>
        <family val="0"/>
        <charset val="1"/>
      </rPr>
      <t xml:space="preserve">Porte coulissante en aluminium077595977 Baie vitrée#viral #pourtoi #vu #aluminum #flyp</t>
    </r>
    <r>
      <rPr>
        <sz val="10"/>
        <rFont val="WenQuanYi Zen Hei"/>
        <family val="2"/>
      </rPr>
      <t xml:space="preserve">シ </t>
    </r>
  </si>
  <si>
    <t xml:space="preserve">https://www.tiktok.com/@alugabon/video/7600855074989968641</t>
  </si>
  <si>
    <t xml:space="preserve">Passer votre commande au 077595977#fenetres #aluminum #viral #baiesvitrées #pourtoi </t>
  </si>
  <si>
    <t xml:space="preserve">https://www.tiktok.com/@alminium.walid/video/7697738300798373127</t>
  </si>
  <si>
    <t xml:space="preserve">alminium.walid</t>
  </si>
  <si>
    <t xml:space="preserve">🔥 إتقان فالصنعة وأناقة فالتصميم 👌✨ #Aluminium #Décoration #Maroc </t>
  </si>
  <si>
    <t xml:space="preserve">https://www.tiktok.com/@soufianeyasser455/video/7697254592366562581</t>
  </si>
  <si>
    <t xml:space="preserve">soufianeyasser455</t>
  </si>
  <si>
    <t xml:space="preserve">⚙️ الدقة فكل قَطعة، والجودة فكل تفصيلة ✨ خدمة متقونة بآلات احترافية 👌 Aluminium • Inox • MDF • Verre 🖤 #الألمنيوم #الديكور_العصري #casablanca #maroco🇲🇦algeria🇩🇿</t>
  </si>
  <si>
    <t xml:space="preserve">https://www.tiktok.com/@nassimtaamourt/video/7697599925487471878</t>
  </si>
  <si>
    <t xml:space="preserve">https://www.tiktok.com/@68designcreation/video/7648295747573517570</t>
  </si>
  <si>
    <t xml:space="preserve">Escalier suspendu avec garde-corps verre #gardecorpssurmesure #construction #escalier #gardecorps #designcreation </t>
  </si>
  <si>
    <t xml:space="preserve">https://www.tiktok.com/@markglassoffciel/video/7697225580839800065</t>
  </si>
  <si>
    <t xml:space="preserve">https://www.tiktok.com/@alugabon/video/7602751328804179201</t>
  </si>
  <si>
    <r>
      <rPr>
        <sz val="10"/>
        <rFont val="Arial"/>
        <family val="0"/>
        <charset val="1"/>
      </rPr>
      <t xml:space="preserve">Venez passer vos commandes des fenêtres#viral #baievitrée #flyp</t>
    </r>
    <r>
      <rPr>
        <sz val="10"/>
        <rFont val="WenQuanYi Zen Hei"/>
        <family val="2"/>
      </rPr>
      <t xml:space="preserve">シ </t>
    </r>
    <r>
      <rPr>
        <sz val="10"/>
        <rFont val="Arial"/>
        <family val="0"/>
        <charset val="1"/>
      </rPr>
      <t xml:space="preserve">#tiktokgabon🇬🇦tiktok #diy </t>
    </r>
  </si>
  <si>
    <t xml:space="preserve">https://www.tiktok.com/@aluminium_marrakech_by_y/video/7183479459167653126</t>
  </si>
  <si>
    <t xml:space="preserve">aluminium_marrakech_by_y</t>
  </si>
  <si>
    <t xml:space="preserve">#menuiseriealuminium #verre #verretrempé #mdf #magazin #decoration #marrakech #morocco #douchetrempé #cuisinealuminium #rideaux #stores #storesrideaux #mdf #cui</t>
  </si>
  <si>
    <t xml:space="preserve">https://www.tiktok.com/@alu_masterr/video/7661697675934321927</t>
  </si>
  <si>
    <t xml:space="preserve">alu_masterr</t>
  </si>
  <si>
    <t xml:space="preserve">Garde-corps D’escalier en Verre Trempé </t>
  </si>
  <si>
    <t xml:space="preserve">https://www.tiktok.com/@alugabon/video/7605571201431260417</t>
  </si>
  <si>
    <r>
      <rPr>
        <sz val="10"/>
        <rFont val="Arial"/>
        <family val="0"/>
        <charset val="1"/>
      </rPr>
      <t xml:space="preserve">On vous accompagne dans vos projets de construction 077595977#flyp</t>
    </r>
    <r>
      <rPr>
        <sz val="10"/>
        <rFont val="WenQuanYi Zen Hei"/>
        <family val="2"/>
      </rPr>
      <t xml:space="preserve">シ </t>
    </r>
    <r>
      <rPr>
        <sz val="10"/>
        <rFont val="Arial"/>
        <family val="0"/>
        <charset val="1"/>
      </rPr>
      <t xml:space="preserve">#diy #aluminium #baievitrée #tiktokviral </t>
    </r>
  </si>
  <si>
    <t xml:space="preserve">https://www.tiktok.com/@nesturaarchitect.id/video/7606637672022510856</t>
  </si>
  <si>
    <t xml:space="preserve">nesturaarchitect.id</t>
  </si>
  <si>
    <t xml:space="preserve">Proyek renovasi fasad buat persiapan Ramadhan dan Lebaran. Desain ini mengusung konsep rumah maroko yang mengadopsi unsur lengkung pada fasadnya. Selaras dengan</t>
  </si>
  <si>
    <t xml:space="preserve">https://www.tiktok.com/@abderrahimrachdi3/video/7656510994885119252</t>
  </si>
  <si>
    <t xml:space="preserve">#aluminium #aluminumwindows #window #slidingdoor Installation fenêtre aluminium | Porte coulissante | Fabrication sur mesure | Maroc #menuiserie</t>
  </si>
  <si>
    <t xml:space="preserve">https://www.tiktok.com/@marchal.fermeture/video/7664646387115576608</t>
  </si>
  <si>
    <t xml:space="preserve">marchal.fermeture</t>
  </si>
  <si>
    <t xml:space="preserve">Un chantier d’envergure avec une pièce maîtresse impressionnante : ➡️ une baie vitrée coulissante levant 4 vantaux duo rails + 2 fixes latéraux 😮 ➡️ dimensions </t>
  </si>
  <si>
    <t xml:space="preserve">https://www.tiktok.com/@markglassoffciel/video/7697550939586071828</t>
  </si>
  <si>
    <t xml:space="preserve">https://www.tiktok.com/@y.zonephone/video/7697687772584316161</t>
  </si>
  <si>
    <t xml:space="preserve">y.zonephone</t>
  </si>
  <si>
    <t xml:space="preserve">#kindle2026 #maroc🇲🇦 </t>
  </si>
  <si>
    <t xml:space="preserve">https://www.tiktok.com/@cheikhou.aluminium/video/7663252608320048417</t>
  </si>
  <si>
    <t xml:space="preserve">cheikhou.aluminium</t>
  </si>
  <si>
    <t xml:space="preserve">Fenetre coulissant baie vitrée Aluminium,porte cuisine aluminium #senegalaise_tik_tok🇸🇳 #pourtoiii#viralvideos#aluminum #visibilite </t>
  </si>
  <si>
    <t xml:space="preserve">https://www.tiktok.com/@confort_aluminium_tlemc1/video/7664678221866126600</t>
  </si>
  <si>
    <t xml:space="preserve">confort_aluminium_tlemc1</t>
  </si>
  <si>
    <t xml:space="preserve">Garde de corps terrasse en verre  feuilleté trempé black 2x8 #t#tlemcen#inox#rénovationv#verretrempe780314881</t>
  </si>
  <si>
    <t xml:space="preserve">https://www.tiktok.com/@anasakiki/video/7696701853764947220</t>
  </si>
  <si>
    <t xml:space="preserve">anasakiki</t>
  </si>
  <si>
    <t xml:space="preserve">ALU PRESTIGE | Aluminium &amp; Design 🏡 Pergolas bioclimatiques • Coulissants Slim 💎 Élégance, qualité &amp; finition premium 📍 Partout au Maroc 🇲🇦 📲 WhatsApp : [tel]</t>
  </si>
  <si>
    <t xml:space="preserve">https://www.tiktok.com/@medalum31/video/7666823481836752146</t>
  </si>
  <si>
    <t xml:space="preserve">medalum31</t>
  </si>
  <si>
    <t xml:space="preserve">[tel]  moustiquaires blanc #aluminium #menouiserie #maroc #darbouaza #tamarisofficial </t>
  </si>
  <si>
    <t xml:space="preserve">https://www.tiktok.com/@mdoss.ff/video/7629823620826647828</t>
  </si>
  <si>
    <t xml:space="preserve">mdoss.ff</t>
  </si>
  <si>
    <t xml:space="preserve">DAR DARKOM tiktomaroc #fyp #viral #explore #decoration #facade #homeimprovement #morocco #المغرب #الناظور #الشرق #الدار_البيضاء #طنجة #مغاربة_العالم #بناء_المغر</t>
  </si>
  <si>
    <t xml:space="preserve">https://www.tiktok.com/@badrealuminium/video/7697361419959799061</t>
  </si>
  <si>
    <t xml:space="preserve">badrealuminium</t>
  </si>
  <si>
    <t xml:space="preserve">#khouribga #aluminium #mdf #maroc #maroco🇲🇦algeria🇩🇿tunisia🇹🇳  [tel]</t>
  </si>
  <si>
    <t xml:space="preserve">https://www.tiktok.com/@couvertinealuminium/video/7644950435534589202</t>
  </si>
  <si>
    <t xml:space="preserve">Donnez à votre maison la protection qu'elle mérite avec une finition élégante et durable. Chez Couvertine Aluminium Maroc, on transforme vos murets et façades a</t>
  </si>
  <si>
    <t xml:space="preserve">https://www.tiktok.com/@nabil_eljarmouni/video/7610937427103911176</t>
  </si>
  <si>
    <t xml:space="preserve">nabil_eljarmouni</t>
  </si>
  <si>
    <t xml:space="preserve">🎥 Réalisation en menuiserie aluminium &amp; verre ✅ Fourniture et pose de portes en aluminium 📍 Projet réalisé avec succès – Hôtel ONOMO 🔧 Expertise | Qualité | Fin</t>
  </si>
  <si>
    <t xml:space="preserve">https://www.tiktok.com/@win871260/video/7628946786320796946</t>
  </si>
  <si>
    <t xml:space="preserve">win871260</t>
  </si>
  <si>
    <t xml:space="preserve">Grandes baies vitrées coulissantes avec des accessoires de haute qualité. Nous sommes disponibles pour tout vos travaux de menuiserie Aluminium et vitrerie #ben</t>
  </si>
  <si>
    <t xml:space="preserve">https://www.tiktok.com/@gunshut.officiel/video/7698363908406512929</t>
  </si>
  <si>
    <t xml:space="preserve">gunshut.officiel</t>
  </si>
  <si>
    <t xml:space="preserve">Menuiserie Aluminium inboxé 92118782#viralvideos #tiktoktogo🇹🇬 </t>
  </si>
  <si>
    <t xml:space="preserve">https://www.tiktok.com/@expertalupro/video/7696426122963193120</t>
  </si>
  <si>
    <t xml:space="preserve">On vous emmène dans notre atelier à La Courneuve 🏭 Ici, vos fenêtres alu sont fabriquées sur mesure, en 7 jours chrono ⏱️ Devis gratuit en 24 h, livraison parto</t>
  </si>
  <si>
    <t xml:space="preserve">https://www.tiktok.com/@superdecoplus/video/7607928165725637896</t>
  </si>
  <si>
    <t xml:space="preserve">#menuiserie #baiecoulissante #aluminum #vitresteintées #burkinatiktok🇧🇫🇧🇫🇧🇫❤️ </t>
  </si>
  <si>
    <t xml:space="preserve">https://www.tiktok.com/@alumunium.turki/video/7574812412914715960</t>
  </si>
  <si>
    <t xml:space="preserve">alumunium.turki</t>
  </si>
  <si>
    <t xml:space="preserve">✨ Baie vitrée coulissante en aluminium Ouverture fluide – Design moderne – Isolation parfaite. Fabrication sur mesure + Installation professionnelle 👌 📲 Contact</t>
  </si>
  <si>
    <t xml:space="preserve">https://www.tiktok.com/@larbutique/video/7618773424575499528</t>
  </si>
  <si>
    <t xml:space="preserve">larbutique</t>
  </si>
  <si>
    <t xml:space="preserve">Fachada sem graça ➡️ Luxo marroquino! 👑 Fachada árabe high-end: arcos curvos elegantes, lanternas douradas brilhando, zellige azul hipnótico e portões que impre</t>
  </si>
  <si>
    <t xml:space="preserve">https://www.tiktok.com/@faisalsabir15/video/7699135414795357448</t>
  </si>
  <si>
    <t xml:space="preserve">faisalsabir15</t>
  </si>
  <si>
    <t xml:space="preserve">aluminium door 4×11 feet. aluminium door fitting and with flooted glass. aluminium door with aluminium panels.  #aluminiumwindow  #glassfitting  #aluminiumdoor </t>
  </si>
  <si>
    <t xml:space="preserve">https://www.tiktok.com/@bh.glace.inox/video/7696110478963117320</t>
  </si>
  <si>
    <t xml:space="preserve">bh.glace.inox</t>
  </si>
  <si>
    <t xml:space="preserve">#balconverre #GardeCorpsVerre #inox #حرفة_اليد💪😍 #حرفة_اليد💪😍 </t>
  </si>
  <si>
    <t xml:space="preserve">https://www.tiktok.com/@sbwgroupuk/video/7637102165873397014</t>
  </si>
  <si>
    <t xml:space="preserve">sbwgroupuk</t>
  </si>
  <si>
    <t xml:space="preserve">SLIDING DOOR - ALUMIL S350  Enquiries WhatsApp: [tel]1 #homeimprovements #windowtechnique #mareabritanie #diasporatiktok #construction #foryoupagе #renovare #di</t>
  </si>
  <si>
    <t xml:space="preserve">https://www.tiktok.com/@florent61/video/7682880631667215623</t>
  </si>
  <si>
    <t xml:space="preserve">florent61</t>
  </si>
  <si>
    <t xml:space="preserve">FILET MOUSTIQUAIRE COULISSANTE pour vos potes   et fenêtres   #b#benintiktok🇧🇯c#calavi229🇧🇯v#vitrier#FrontinoConstructionAluminiuma#aluminum</t>
  </si>
  <si>
    <t xml:space="preserve">https://www.tiktok.com/@travaux.btiment.m1/video/7695426624401018132</t>
  </si>
  <si>
    <t xml:space="preserve">travaux.btiment.m1</t>
  </si>
  <si>
    <t xml:space="preserve">✨ Tout commence par une ouverture. Chez FRANGINA, chaque cadre aluminium révèle un nouvel espace.   Lignes pures, lumière de Marrakech, qualité haut de gamme. 📍</t>
  </si>
  <si>
    <t xml:space="preserve">https://www.tiktok.com/@aluminum_profile_factory/video/7688657535561141534</t>
  </si>
  <si>
    <t xml:space="preserve">👏👏A warm welcome to our aluminum profile factory, #aluminumOEM #aluminumODM #aluminumfactory #aluminumprofile #aluminummanufacturer #aluminumdoorsandwindows #ch</t>
  </si>
  <si>
    <t xml:space="preserve">https://www.tiktok.com/@yassine.essafi6/video/7697173379069234452</t>
  </si>
  <si>
    <t xml:space="preserve">yassine.essafi6</t>
  </si>
  <si>
    <t xml:space="preserve">https://www.tiktok.com/@verre.hafid/video/7697682959675051284</t>
  </si>
  <si>
    <t xml:space="preserve">verre.hafid</t>
  </si>
  <si>
    <t xml:space="preserve">🔥 **ACCORDÉON ALUMINIUM SUR MESURE** 🔥 بغيتي تستغل المساحة كاملة وتجمع بين **الأناقة والعملية؟** ✨ ✅ فتح كامل للمساحة ✅ تصميم عصري وأنيق ✅ صناعة حسب القياس ✅ Al</t>
  </si>
  <si>
    <t xml:space="preserve">https://www.tiktok.com/@aluminooo/video/7696938913612582160</t>
  </si>
  <si>
    <t xml:space="preserve">Garde corps les escaliers Verre trempés   #gardecorps #villa #maroc #glass  📍🇲🇦🇲🇦🇲🇦🇲🇦🇲🇦🇲🇦</t>
  </si>
  <si>
    <t xml:space="preserve">https://www.tiktok.com/@markglassoffciel/video/7698111031024897281</t>
  </si>
  <si>
    <t xml:space="preserve">https://www.tiktok.com/@aluminum_profile_factory/video/7690885723028868383</t>
  </si>
  <si>
    <t xml:space="preserve">📢📢Looking for a trustworthy Chinese aluminum profile partner? Trial and bulk orders are welcome. #aluminumOEM #aluminumODM #aluminumfactory #aluminumprofile #al</t>
  </si>
  <si>
    <t xml:space="preserve">https://www.tiktok.com/@markglassoffciel/video/7696902504306543892</t>
  </si>
  <si>
    <t xml:space="preserve">https://www.tiktok.com/@fouad.dahmani3/video/7698488476139834631</t>
  </si>
  <si>
    <t xml:space="preserve">fouad.dahmani3</t>
  </si>
  <si>
    <t xml:space="preserve">accsesouar_counfor_profel aluminium _stugal_aluminium de maroc</t>
  </si>
  <si>
    <t xml:space="preserve">https://www.tiktok.com/@jlchinadoorfactory/video/7698680202737487137</t>
  </si>
  <si>
    <t xml:space="preserve">jlchinadoorfactory</t>
  </si>
  <si>
    <t xml:space="preserve">Custom high‑end aluminium doors &amp; windows ✅ Quotations available for private homeowners and contractors. Message us directly for your offer!#JL #aluminum #Fosha</t>
  </si>
  <si>
    <t xml:space="preserve">https://www.tiktok.com/@ecodom_algerie/video/7649467867284442389</t>
  </si>
  <si>
    <t xml:space="preserve">L'élégance se révèle dans les détails ✨ Pour cette villa d'exception à Alger, nous avons réalisé une installation de garde-corps en verre sur socles en aluminiu</t>
  </si>
  <si>
    <t xml:space="preserve">https://www.tiktok.com/@68designcreation/video/7653922674137107745</t>
  </si>
  <si>
    <t xml:space="preserve">Escalier avec garde-corps verre #gardecorpssurmesure #construction #escalier #renovation #construction </t>
  </si>
  <si>
    <t xml:space="preserve">https://www.tiktok.com/@johnnyxcally/video/7698115430862376198</t>
  </si>
  <si>
    <t xml:space="preserve">johnnyxcally</t>
  </si>
  <si>
    <t xml:space="preserve">https://www.tiktok.com/@nawaltechnical/video/7698400608579095828</t>
  </si>
  <si>
    <t xml:space="preserve">nawaltechnical</t>
  </si>
  <si>
    <t xml:space="preserve">Aluminium windows and doors with quality finishes and affordable prices </t>
  </si>
  <si>
    <t xml:space="preserve">https://www.tiktok.com/@bhattialuminum0/video/7696925002590932246</t>
  </si>
  <si>
    <t xml:space="preserve">bhattialuminum0</t>
  </si>
  <si>
    <t xml:space="preserve">Sliding door+fix fream Bismilallah Aluminium and glass work </t>
  </si>
  <si>
    <t xml:space="preserve">https://www.tiktok.com/@glasshome.dz/video/7698258481421241621</t>
  </si>
  <si>
    <t xml:space="preserve">glasshome.dz</t>
  </si>
  <si>
    <t xml:space="preserve">🖤 Garde-corps en verre – RAL 7024 ✨ Élégance, modernité et transparence pour une terrasse au style unique ! 🔥 GLASS HOME – Toujours à la hauteur de vos attentes</t>
  </si>
  <si>
    <t xml:space="preserve">https://www.tiktok.com/@luminaglassalsace/video/7697742253657165088</t>
  </si>
  <si>
    <t xml:space="preserve">luminaglassalsace</t>
  </si>
  <si>
    <t xml:space="preserve">#avantapres #gardecorps #verre #escalier #alsace </t>
  </si>
  <si>
    <t xml:space="preserve">https://www.tiktok.com/@nkunadoors/video/7699058062736379156</t>
  </si>
  <si>
    <t xml:space="preserve">nkunadoors</t>
  </si>
  <si>
    <t xml:space="preserve">https://www.tiktok.com/@markglassoffciel/video/7698433457751379221</t>
  </si>
  <si>
    <t xml:space="preserve">https://www.tiktok.com/@nawaltechnical/video/7698307998703275284</t>
  </si>
  <si>
    <t xml:space="preserve">Aluminium windows and doors with quality finishes and </t>
  </si>
  <si>
    <t xml:space="preserve">https://www.tiktok.com/@markglassoffciel/video/7698115569169599765</t>
  </si>
  <si>
    <t xml:space="preserve">https://www.tiktok.com/@romana.aluminium/video/7615661855729585415</t>
  </si>
  <si>
    <t xml:space="preserve">romana.aluminium</t>
  </si>
  <si>
    <t xml:space="preserve">🔹Fenêtre coulissante en aluminium blanc sur mesure 🪟 🔹Qualité عالية و finition أنيقة #aluminium  #menuiserie #décoration #maroc </t>
  </si>
  <si>
    <t xml:space="preserve">https://www.tiktok.com/@eurostar.my/video/7698963926129855751</t>
  </si>
  <si>
    <t xml:space="preserve">eurostar.my</t>
  </si>
  <si>
    <t xml:space="preserve">Sliding Door 9’x8’ ✅ #fyp #eurostar #aluminium #foldingdoor #slidingdoor </t>
  </si>
  <si>
    <t xml:space="preserve">https://www.tiktok.com/@talaiy292aluminium/video/7699204684157816072</t>
  </si>
  <si>
    <t xml:space="preserve">https://www.tiktok.com/@glanium.engineering/video/7699139703718857985</t>
  </si>
  <si>
    <t xml:space="preserve">China factory. Aluminium windows and doors. </t>
  </si>
  <si>
    <t xml:space="preserve">https://www.tiktok.com/@primalu.oran/video/7696947701891534087</t>
  </si>
  <si>
    <t xml:space="preserve">primalu.oran</t>
  </si>
  <si>
    <t xml:space="preserve">#primalu #menuiserie_aluminium #tpr #oran </t>
  </si>
  <si>
    <t xml:space="preserve">https://www.tiktok.com/@glasshome.dz/video/7696770447614020885</t>
  </si>
  <si>
    <t xml:space="preserve">gard corps en verre feuilleté avec des fenêtres en aluminium </t>
  </si>
  <si>
    <t xml:space="preserve">https://www.tiktok.com/@glasshome.dz/video/7698690922501983509</t>
  </si>
  <si>
    <t xml:space="preserve">🏢 Spécialiste en :  ✅ Garde-corps en verre trempé  ✅ Rampes d’escaliers en verre et inox  ✅ Cabines de douche  ✅ Façades ventilées &amp; murs rideaux  ✅ Pergolas &amp; </t>
  </si>
  <si>
    <t xml:space="preserve">https://www.tiktok.com/@mouniiiiib.t/video/7696600478955605255</t>
  </si>
  <si>
    <t xml:space="preserve">mouniiiiib.t</t>
  </si>
  <si>
    <t xml:space="preserve">✨ Garde-corps Inox &amp; Verre – INOX LUXE ✨ 🏆 Alliez élégance, sécurité et modernité avec nos garde-corps en inox et verre, réalisés avec une finition haut de gamm</t>
  </si>
  <si>
    <t xml:space="preserve">https://www.tiktok.com/@bauduin.habitat/video/7697341803963387168</t>
  </si>
  <si>
    <t xml:space="preserve">bauduin.habitat</t>
  </si>
  <si>
    <t xml:space="preserve">D’une fenêtre à une baie coulissante : ça change tout ! 🪟✨ Retour sur cette transformation réalisée par notre équipe : une ouverture jusqu’au sol pour créer un </t>
  </si>
  <si>
    <t xml:space="preserve">https://www.tiktok.com/@luminaglassalsace/video/7696990748524285217</t>
  </si>
  <si>
    <t xml:space="preserve">#gardecorps #luxury #escalier #verre #alsace </t>
  </si>
  <si>
    <t xml:space="preserve">https://www.tiktok.com/@h_haa89/video/7699252080803876114</t>
  </si>
  <si>
    <t xml:space="preserve">h_haa89</t>
  </si>
  <si>
    <t xml:space="preserve">[tel] / [tel]  Confiance, expérience, qualité  #menuiserie_aluminium #tiktokvira #foryou @بوسطيل عبد الحليم @Hicham...هشام </t>
  </si>
  <si>
    <t xml:space="preserve">https://www.tiktok.com/@user00049652/video/7699094805812366613</t>
  </si>
  <si>
    <t xml:space="preserve">user00049652</t>
  </si>
  <si>
    <t xml:space="preserve">အလုပ်ရုံမှာထုတ်လုပ်ရေးများ MYINT BROTHERS ALUMINIUM  Doors &amp; Windows  (Viber 09403716486) #Aluminium #ပြူတင်းပေါက် #အလူမီနီယမ် #Aluminiumwindows </t>
  </si>
  <si>
    <t xml:space="preserve">https://www.tiktok.com/@lamzoalu/video/7697741557448969492</t>
  </si>
  <si>
    <t xml:space="preserve">lamzoalu</t>
  </si>
  <si>
    <t xml:space="preserve">Garde corps scalier en verre pour plus d’infos n’hésitez surtout pas 78-248-80-27 / 70-570-78-97#viral?tiktok?video? #travail #💰👷🏾‍♂️💯✌🏽 </t>
  </si>
  <si>
    <t xml:space="preserve">https://www.tiktok.com/@aluminooo/video/7699258089265958162</t>
  </si>
  <si>
    <t xml:space="preserve">🥇Projet terminé avec succès 🥇 Alhamdoulillah, tout s’est parfaitement bien passé ! 🙏 De la conception à l’installation, chaque détail a été réalisé avec soin et</t>
  </si>
  <si>
    <t xml:space="preserve">https://www.tiktok.com/@ela.glass/video/7696645769587215636</t>
  </si>
  <si>
    <t xml:space="preserve">ela.glass</t>
  </si>
  <si>
    <t xml:space="preserve">Installation d’un garde-corps en verre sur mesure par Ela Glass. Un rendu moderne et épuré qui apporte de la transparence tout en sécurisant votre espace. Nous </t>
  </si>
  <si>
    <t xml:space="preserve">https://www.tiktok.com/@quincaillerie.de.luxe/video/7699137522961845524</t>
  </si>
  <si>
    <t xml:space="preserve">quincaillerie.de.luxe</t>
  </si>
  <si>
    <t xml:space="preserve">#outillageprofessionnel #cuisinetiktok #tiktokviral #cuisinmaroc #cuisin_aluminium </t>
  </si>
  <si>
    <t xml:space="preserve">https://www.tiktok.com/@bejart54/video/7698986639619640582</t>
  </si>
  <si>
    <t xml:space="preserve">bejart54</t>
  </si>
  <si>
    <t xml:space="preserve">Window Structure Breakdown | Mini Edition We manufacture and supply custom windows and doors for builders, dealers and homeowners worldwide, with end-to-end ser</t>
  </si>
  <si>
    <t xml:space="preserve">https://www.tiktok.com/@couvertinealuminium/video/7698439214345587969</t>
  </si>
  <si>
    <t xml:space="preserve">Protégez et sublimez votre villa avec Couvertine Aluminium Maroc ! L'étanchéité et l'esthétique de votre toiture méritent le meilleur. Nos solutions sur mesure </t>
  </si>
  <si>
    <t xml:space="preserve">https://www.tiktok.com/@luminaglassalsace/video/7699078913741294880</t>
  </si>
  <si>
    <t xml:space="preserve">#avantapres #gardecorps #verre #balcony #modern </t>
  </si>
  <si>
    <t xml:space="preserve">https://www.tiktok.com/@avenirdelamenuiserie/video/7698799642527403296</t>
  </si>
  <si>
    <t xml:space="preserve">avenirdelamenuiserie</t>
  </si>
  <si>
    <t xml:space="preserve">Pose d un garde corps en verre de chez #kostum. Profil encastré par le carreleur pour un rendu épuré. #avenirdelamenuiserie #pourtoiii #agencementsurmesure #hau</t>
  </si>
  <si>
    <t xml:space="preserve">https://www.tiktok.com/@babadee_aluminiummagic/video/7699180963628141845</t>
  </si>
  <si>
    <t xml:space="preserve">babadee_aluminiummagic</t>
  </si>
  <si>
    <t xml:space="preserve">ALUMINIUM WINDOWS AND DOORS 078 535 7679,  071 9985 994,  BABA DEE #fpy #10millionviewsontiktok #trendingvideo </t>
  </si>
  <si>
    <t xml:space="preserve">https://www.tiktok.com/@markglassoffciel/video/7698694743986932998</t>
  </si>
  <si>
    <t xml:space="preserve">https://www.tiktok.com/@ireolaganiyou/video/7698436170144861460</t>
  </si>
  <si>
    <t xml:space="preserve">ireolaganiyou</t>
  </si>
  <si>
    <t xml:space="preserve">#Balcon et porte coulisante #pour tout vos besoin de balcon de baie vitrée # disponible 62941641#LBV Akanda </t>
  </si>
  <si>
    <t xml:space="preserve">https://www.tiktok.com/@hsbwindowsdoorsltd/video/7699177648597011734</t>
  </si>
  <si>
    <t xml:space="preserve">hsbwindowsdoorsltd</t>
  </si>
  <si>
    <t xml:space="preserve">Heritage profile smart architectural aluminium</t>
  </si>
  <si>
    <t xml:space="preserve">https://www.tiktok.com/@ireolaganiyou/video/7698435301584391444</t>
  </si>
  <si>
    <t xml:space="preserve">#Baie vitrée coulisante cour leur gris avec vitre fumée # pour tout vos besoin Orla service aluminium est dispo 62941641 #Lbv Akanda </t>
  </si>
  <si>
    <t xml:space="preserve">https://www.tiktok.com/@mazeem8080gmail/video/7698828908778523911</t>
  </si>
  <si>
    <t xml:space="preserve">mazeem8080gmail</t>
  </si>
  <si>
    <t xml:space="preserve">My Aluminium windows &amp; clandig door#creatorsearchinsights #aluminum #100kviews #windows #viralvideo @RANA ⚜️ @Abo Hamza </t>
  </si>
  <si>
    <t xml:space="preserve">https://www.tiktok.com/@aluminium.fire.sy/video/7698999478316977441</t>
  </si>
  <si>
    <t xml:space="preserve">aluminium.fire.sy</t>
  </si>
  <si>
    <t xml:space="preserve">Take a look behind the scenes as Jordon assembles one of our aluminium fire-rated frames. 👀 First, glue and sealant are applied to the joints. The corner cleats</t>
  </si>
  <si>
    <t xml:space="preserve">https://www.tiktok.com/@lux.seal/video/7698671329641237774</t>
  </si>
  <si>
    <t xml:space="preserve">lux.seal</t>
  </si>
  <si>
    <t xml:space="preserve">Good feedback from client after visit our window and door showroom#aluminumwindow #aluminumdoor</t>
  </si>
  <si>
    <t xml:space="preserve">https://www.tiktok.com/@luminaglassalsace/video/7697277210087951649</t>
  </si>
  <si>
    <t xml:space="preserve">#gardecorps #balcon #modern #luxury #verre </t>
  </si>
  <si>
    <t xml:space="preserve">https://www.tiktok.com/@sjts.gill/video/7699186750119284000</t>
  </si>
  <si>
    <t xml:space="preserve">sjts.gill</t>
  </si>
  <si>
    <t xml:space="preserve">#SJTS #aluminum #windowsanddoorglazing </t>
  </si>
  <si>
    <t xml:space="preserve">https://www.tiktok.com/@rsupvc.windors/video/7694594237488319751</t>
  </si>
  <si>
    <t xml:space="preserve">rsupvc.windors</t>
  </si>
  <si>
    <t xml:space="preserve">#aluminiumslodingdoors </t>
  </si>
  <si>
    <t xml:space="preserve">https://www.tiktok.com/@victoria4abm/video/7693189497697160478</t>
  </si>
  <si>
    <t xml:space="preserve">victoria4abm</t>
  </si>
  <si>
    <t xml:space="preserve">Hundreds of existing moulds for aluminium profiles. Short lead time for your Iraq &amp; Israel construction orders. OEM cutting, punching &amp; surface treatment suppor</t>
  </si>
  <si>
    <t xml:space="preserve">https://www.tiktok.com/@huajianaluminumgroup/video/7696445657657249054</t>
  </si>
  <si>
    <t xml:space="preserve">Shandong Huajian Aluminum Industry Group boasts a fully equipped production facility and independently controlled manufacturing processes. The company develops </t>
  </si>
  <si>
    <t xml:space="preserve">https://www.tiktok.com/@huayingmetal/video/7699083192317283591</t>
  </si>
  <si>
    <t xml:space="preserve">huayingmetal</t>
  </si>
  <si>
    <t xml:space="preserve">Source factory loading aluminium windows, on-time delivery guaranteed.#doors </t>
  </si>
  <si>
    <t xml:space="preserve">https://www.tiktok.com/@huajianaluminumprofile/video/7688294046879583502</t>
  </si>
  <si>
    <t xml:space="preserve">Formed using a precision extrusion process and featuring an anti-corrosion powder coating, it offers high precision.#aluminum #aluminumprofile #factory #profile</t>
  </si>
  <si>
    <t xml:space="preserve">https://www.tiktok.com/@huajianaluminumprofile/video/7663062805842496782</t>
  </si>
  <si>
    <t xml:space="preserve">Our aluminium profile factory is a trusted Direct Manufacturer with a modern Direct Manufacturer factory and advanced Extrusion factory.#DirectManufacturer #alu</t>
  </si>
  <si>
    <t xml:space="preserve">https://www.tiktok.com/@junhe2889/video/7698965495994731794</t>
  </si>
  <si>
    <t xml:space="preserve">junhe2889</t>
  </si>
  <si>
    <t xml:space="preserve">Tired of suppliers with unstable lead time and bad quality? We are Foshan aluminum profile manufacturer with large stock &amp; strict QC. Custom extrusion, CNC mach</t>
  </si>
  <si>
    <t xml:space="preserve">https://www.tiktok.com/@huajianaluminumprofile/video/7668623019035675917</t>
  </si>
  <si>
    <t xml:space="preserve">Our aluminum profile manufacturer produces Aluminum profiles for doors and Windows for premium China aluminum Windows applications#aluminumwindows #aluminumprof</t>
  </si>
  <si>
    <t xml:space="preserve">https://www.tiktok.com/@backbednarczyk2655/video/7698634567216860437</t>
  </si>
  <si>
    <t xml:space="preserve">backbednarczyk2655</t>
  </si>
  <si>
    <r>
      <rPr>
        <sz val="10"/>
        <rFont val="Arial"/>
        <family val="0"/>
        <charset val="1"/>
      </rPr>
      <t xml:space="preserve">sash window#madeinchina🇨🇳🇨🇳🇨🇳 #aluminiumwindowsanddoors #homeideas #</t>
    </r>
    <r>
      <rPr>
        <sz val="10"/>
        <rFont val="WenQuanYi Zen Hei"/>
        <family val="2"/>
      </rPr>
      <t xml:space="preserve">外贸工厂 </t>
    </r>
    <r>
      <rPr>
        <sz val="10"/>
        <rFont val="Arial"/>
        <family val="0"/>
        <charset val="1"/>
      </rPr>
      <t xml:space="preserve">#window </t>
    </r>
  </si>
  <si>
    <t xml:space="preserve">https://www.tiktok.com/@jl.chinesealuminum/video/7698680244428983558</t>
  </si>
  <si>
    <t xml:space="preserve">jl.chinesealuminum</t>
  </si>
  <si>
    <t xml:space="preserve">https://www.tiktok.com/@industrialaluminumprofil/video/7698253789488270623</t>
  </si>
  <si>
    <t xml:space="preserve">industrialaluminumprofil</t>
  </si>
  <si>
    <t xml:space="preserve">Shandong Huajian Aluminum specializes in the production of architectural aluminum profiles. Drawing on years of technical expertise the company strictly control</t>
  </si>
  <si>
    <t xml:space="preserve">https://www.tiktok.com/@huajianaluminumprofile/video/7698221242054151437</t>
  </si>
  <si>
    <t xml:space="preserve">https://www.tiktok.com/@zoexu6/video/7698887861222837534</t>
  </si>
  <si>
    <t xml:space="preserve">zoexu6</t>
  </si>
  <si>
    <t xml:space="preserve">#cantonfair2026  To our friends around the world: during the Canton Fair, you can take advantage of significant special offers when ordering our products. We wa</t>
  </si>
  <si>
    <t xml:space="preserve">https://www.tiktok.com/@meiduoyubuildingm/video/7699130870627699986</t>
  </si>
  <si>
    <t xml:space="preserve">meiduoyubuildingm</t>
  </si>
  <si>
    <t xml:space="preserve">Overseas dealers &amp; main contractors are warmly welcome to visit our aluminum window‑door factory. Tour production workshop, QC lab &amp; showroom, discuss project p</t>
  </si>
  <si>
    <t xml:space="preserve">https://www.tiktok.com/@industrialaluminumprofil/video/7698670023111363871</t>
  </si>
  <si>
    <t xml:space="preserve">Industrial aluminum profiles support a wide range of customization options, offer consistent performance, and undergo multiple rounds of quality inspections. Th</t>
  </si>
  <si>
    <t xml:space="preserve">https://www.tiktok.com/@industrialaluminumprofil/video/7698260813865405726</t>
  </si>
  <si>
    <t xml:space="preserve">Does your equipment stop working as soon as it overheats? Shandong Huajian Aluminium’s industrial aluminium profile heat sinks are here to the rescue. Precision</t>
  </si>
  <si>
    <t xml:space="preserve">https://www.tiktok.com/@huajianaluminumgroup/video/7697557280656461086</t>
  </si>
  <si>
    <t xml:space="preserve">Our aluminium profile manufacturing plant, as the source manufacturer, has a dedicated technical team to support customers with bespoke aluminium products. We a</t>
  </si>
  <si>
    <t xml:space="preserve">https://www.tiktok.com/@chrisvandijkoffic/video/7699222421689257234</t>
  </si>
  <si>
    <t xml:space="preserve">chrisvandijkoffic</t>
  </si>
  <si>
    <t xml:space="preserve">Australia just put a price on dumped Chinese windows and doors. From 15 October, interim anti-dumping measures under Case 691 apply to aluminium windows and doo</t>
  </si>
  <si>
    <t xml:space="preserve">https://www.tiktok.com/@aprodoor/video/7647478203400949006</t>
  </si>
  <si>
    <t xml:space="preserve">aprodoor</t>
  </si>
  <si>
    <t xml:space="preserve">Aluminum Sliding Door #aluminumdoor #aluminum #slidingdoor #fyp #door </t>
  </si>
  <si>
    <t xml:space="preserve">https://www.tiktok.com/@huajianaluminumprofile/video/7698243919993195790</t>
  </si>
  <si>
    <t xml:space="preserve">A primary manufacturer of architectural aluminum profiles, featuring 150 extrusion lines and 10,000-ton extrusion presses. We offer single piece forming for lar</t>
  </si>
  <si>
    <t xml:space="preserve">https://www.tiktok.com/@huajianaluminumprofile/video/7698249870645153037</t>
  </si>
  <si>
    <t xml:space="preserve">https://www.tiktok.com/@chan123121/video/7699279360137923860</t>
  </si>
  <si>
    <t xml:space="preserve">chan123121</t>
  </si>
  <si>
    <t xml:space="preserve">ဆီလီကွန်နဲ့ပတ်သက်လို့  သိချင်ရင်  ဆုံးအောင်ကြည့်ပေးပါ  #windows #chanmyaealuminium #doors #homedecor #အလူမီနီယံ </t>
  </si>
  <si>
    <t xml:space="preserve">https://www.tiktok.com/@wkjdoorswindows/video/7698584019608358157</t>
  </si>
  <si>
    <t xml:space="preserve">wkjdoorswindows</t>
  </si>
  <si>
    <t xml:space="preserve">From our factory to a beautiful villa project! 🏡 Quality aluminium windows and doors, delivered directly to the construction site. Looking for a reliable window</t>
  </si>
  <si>
    <t xml:space="preserve">https://www.tiktok.com/@kehao_jensen/video/7693493104346664222</t>
  </si>
  <si>
    <t xml:space="preserve">kehao_jensen</t>
  </si>
  <si>
    <t xml:space="preserve">China Factory Direct:Cleanroom Aluminum Profiles Manufacturer  #purificationaluminum #factory #cleanroomaluminum#kehaoaluminum #kehao </t>
  </si>
  <si>
    <t xml:space="preserve">https://www.tiktok.com/@sohome.window_door.vicky/video/7699055890988535060</t>
  </si>
  <si>
    <t xml:space="preserve">sohome.window_door.vicky</t>
  </si>
  <si>
    <t xml:space="preserve">Export aluminium windows &amp; doors for Tanzania apartments. Compliant with local building codes, we have rich project delivery experience. Message us for your FRE</t>
  </si>
  <si>
    <t xml:space="preserve">https://www.tiktok.com/@xinhe.aluminium/video/7699053235541183750</t>
  </si>
  <si>
    <t xml:space="preserve">xinhe.aluminium</t>
  </si>
  <si>
    <t xml:space="preserve">New Windows &amp; Doors at Canton Fair | Booth 12.1D15-16 🚪 Discover What’s New at Xinhe Aluminum! Looking for innovative window and door solutions for your next pr</t>
  </si>
  <si>
    <t xml:space="preserve">https://www.tiktok.com/@nuonuo.jiang4/video/7699073172993346834</t>
  </si>
  <si>
    <t xml:space="preserve">nuonuo.jiang4</t>
  </si>
  <si>
    <t xml:space="preserve">A manufacturer of aluminium alloy doors and windows based in Shandong, China, specialising in energy-efficient system windows. These feature a vertical isotherm</t>
  </si>
  <si>
    <t xml:space="preserve">https://www.tiktok.com/@aluminum.profile8/video/7689639225494457631</t>
  </si>
  <si>
    <t xml:space="preserve">aluminum.profile8</t>
  </si>
  <si>
    <t xml:space="preserve">Professional aluminum profile manufacturer from China.Custom aluminum extrusion &amp; accessories.#AluminumProfilesFactory#AluminumProfileProducts#AluminumProfileAc</t>
  </si>
  <si>
    <t xml:space="preserve">https://www.tiktok.com/@beckyniuu/video/7686293684010142989</t>
  </si>
  <si>
    <t xml:space="preserve">beckyniuu</t>
  </si>
  <si>
    <t xml:space="preserve">We are a primary manufacturer of architectural aluminum profiles, featuring fully automated, intelligent production lines that enable integrated processing. Inc</t>
  </si>
  <si>
    <t xml:space="preserve">https://www.tiktok.com/@jl.chinesealuminum/video/7698679947833150741</t>
  </si>
  <si>
    <t xml:space="preserve">https://www.tiktok.com/@yooan.doorwindow/video/7698629297833020693</t>
  </si>
  <si>
    <t xml:space="preserve">yooan.doorwindow</t>
  </si>
  <si>
    <t xml:space="preserve">A few centimetres off, and your window may not fit! Our Kuching team measures every opening and checks the drawings before production.PM us to arrange on-site m</t>
  </si>
  <si>
    <t xml:space="preserve">Data notes, method and caveats</t>
  </si>
  <si>
    <t xml:space="preserve">Caveats (from the report)</t>
  </si>
  <si>
    <t xml:space="preserve">• Instagram: no post data, no competitor data. Section 6F is niche knowledge, not measured.</t>
  </si>
  <si>
    <t xml:space="preserve">• Competitor sample is 479 videos from TikTok search pages, so it skews toward visible, popular content. Medians describe this sample, not the whole market. Some comparisons have small groups (the under-10s Moroccan bucket has only 4 videos).</t>
  </si>
  <si>
    <t xml:space="preserve">• Correlation, not proof. Arabic captions and hashtag-only captions correlate with higher reach, but those videos are also often kitchen reveals, which is a confound.</t>
  </si>
  <si>
    <t xml:space="preserve">• Your last two videos are very new; their views will keep moving.</t>
  </si>
  <si>
    <t xml:space="preserve">• Two of your 12 TikTok videos weren't visible to me.</t>
  </si>
  <si>
    <t xml:space="preserve">• Competitor figures were read from public pages on 22 Oct 2026. Full list in data/niche-tiktok-videos.csv (third-party phone numbers redacted).</t>
  </si>
  <si>
    <t xml:space="preserve">Method</t>
  </si>
  <si>
    <t xml:space="preserve">Your TikTok videos</t>
  </si>
  <si>
    <t xml:space="preserve">Profile and video pages read on 22 Oct 2026 from public pages. 10 of the 12 videos on the profile were visible.</t>
  </si>
  <si>
    <t xml:space="preserve">Niche sample</t>
  </si>
  <si>
    <t xml:space="preserve">480 video links collected from TikTok search ('discover') pages for niche keywords, rendered in a headless browser. Stats read from each public video page. One video returned no data, leaving 479.</t>
  </si>
  <si>
    <t xml:space="preserve">Instagram</t>
  </si>
  <si>
    <t xml:space="preserve">Only the profile headline numbers (151 followers, 7 following, 15 posts) were readable. No posts, captions or competitor data, so nothing here about Instagram content is measured.</t>
  </si>
  <si>
    <t xml:space="preserve">Moroccan flag</t>
  </si>
  <si>
    <t xml:space="preserve">'yes' when the caption or account name matches: maroc, morocco, المغرب, مغرب, fes, fès, casablanca, الدار_البيضاء, tanger, rabat, agadir, marrakech, +212, a 06/07 phone number, bouznika, mohammedia, sefrou, meknes, oujda, kenitra or 🇲🇦.</t>
  </si>
  <si>
    <t xml:space="preserve">Caption flags</t>
  </si>
  <si>
    <t xml:space="preserve">Arabic = any Arabic letter in the caption. Hashtag-only = nothing left after removing hashtags. Phone = a 06/07 number or +212 in the caption.</t>
  </si>
  <si>
    <t xml:space="preserve">Topic flags</t>
  </si>
  <si>
    <t xml:space="preserve">Case-insensitive keyword match on the caption (French, English and Arabic terms). A video can match several topics. The patterns are the columns marked 'Flag:' on the Niche Videos sheet.</t>
  </si>
  <si>
    <t xml:space="preserve">Medians</t>
  </si>
  <si>
    <t xml:space="preserve">Calculated with array formulas (MEDIAN(IF(…))) over the Niche Videos sheet, so they recalculate if you edit or add rows (extend the ranges if you add rows beyond row 480).</t>
  </si>
  <si>
    <t xml:space="preserve">Redaction</t>
  </si>
  <si>
    <t xml:space="preserve">Phone numbers in third-party captions are replaced by [tel] and captions are cut to 160 characters.</t>
  </si>
  <si>
    <t xml:space="preserve">Share and save rates</t>
  </si>
  <si>
    <t xml:space="preserve">Per-video shares ÷ views and saves ÷ views, then the median across videos. Rates on videos with very few views are inflated by followers, so use counts as well.</t>
  </si>
  <si>
    <t xml:space="preserve">Correlation</t>
  </si>
  <si>
    <t xml:space="preserve">Patterns such as Arabic captions or hashtag-only captions correlate with reach but are also linked to the kind of video (for example kitchen reveals).</t>
  </si>
</sst>
</file>

<file path=xl/styles.xml><?xml version="1.0" encoding="utf-8"?>
<styleSheet xmlns="http://schemas.openxmlformats.org/spreadsheetml/2006/main">
  <numFmts count="7">
    <numFmt numFmtId="164" formatCode="General"/>
    <numFmt numFmtId="165" formatCode="yyyy\-mm\-dd"/>
    <numFmt numFmtId="166" formatCode="#,##0"/>
    <numFmt numFmtId="167" formatCode="0.0%"/>
    <numFmt numFmtId="168" formatCode="0.00%"/>
    <numFmt numFmtId="169" formatCode="0.0\×"/>
    <numFmt numFmtId="170"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b val="true"/>
      <sz val="10"/>
      <color rgb="FFFFFFFF"/>
      <name val="Arial"/>
      <family val="0"/>
      <charset val="1"/>
    </font>
    <font>
      <u val="single"/>
      <sz val="10"/>
      <color rgb="FF0563C1"/>
      <name val="Arial"/>
      <family val="0"/>
      <charset val="1"/>
    </font>
    <font>
      <sz val="10"/>
      <name val="Arial"/>
      <family val="0"/>
      <charset val="1"/>
    </font>
    <font>
      <sz val="10"/>
      <color rgb="FF0000FF"/>
      <name val="Arial"/>
      <family val="0"/>
      <charset val="1"/>
    </font>
    <font>
      <sz val="10"/>
      <name val="WenQuanYi Zen Hei"/>
      <family val="2"/>
    </font>
  </fonts>
  <fills count="6">
    <fill>
      <patternFill patternType="none"/>
    </fill>
    <fill>
      <patternFill patternType="gray125"/>
    </fill>
    <fill>
      <patternFill patternType="solid">
        <fgColor rgb="FFD9E2F3"/>
        <bgColor rgb="FFF2F2F2"/>
      </patternFill>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70"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center"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10" fillId="0" borderId="1"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5" fontId="10"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6" fontId="10" fillId="5" borderId="1" xfId="0" applyFont="true" applyBorder="true" applyAlignment="true" applyProtection="false">
      <alignment horizontal="general" vertical="top" textRotation="0" wrapText="true" indent="0" shrinkToFit="false"/>
      <protection locked="true" hidden="false"/>
    </xf>
    <xf numFmtId="165" fontId="10"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6" fontId="10" fillId="4"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6" fontId="9" fillId="0" borderId="0" xfId="0" applyFont="true" applyBorder="false" applyAlignment="true" applyProtection="false">
      <alignment horizontal="general" vertical="top" textRotation="0" wrapText="true" indent="0" shrinkToFit="false"/>
      <protection locked="true" hidden="false"/>
    </xf>
    <xf numFmtId="165"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8"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bgColor rgb="FFC6EFCE"/>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7030A0"/>
      <rgbColor rgb="FFF2F2F2"/>
      <rgbColor rgb="FFCCFFFF"/>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4.xml.rels><?xml version="1.0" encoding="UTF-8"?>
<Relationships xmlns="http://schemas.openxmlformats.org/package/2006/relationships"><Relationship Id="rId1" Type="http://schemas.openxmlformats.org/officeDocument/2006/relationships/hyperlink" Target="https://www.tiktok.com/@proalumad/video/7075315096817306885" TargetMode="External"/><Relationship Id="rId2" Type="http://schemas.openxmlformats.org/officeDocument/2006/relationships/hyperlink" Target="https://www.tiktok.com/@proalumad/video/7288013328054488326" TargetMode="External"/><Relationship Id="rId3" Type="http://schemas.openxmlformats.org/officeDocument/2006/relationships/hyperlink" Target="https://www.tiktok.com/@proalumad/video/7591110042548538645" TargetMode="External"/><Relationship Id="rId4" Type="http://schemas.openxmlformats.org/officeDocument/2006/relationships/hyperlink" Target="https://www.tiktok.com/@alu.mamoune/video/7323879084658887942" TargetMode="External"/><Relationship Id="rId5" Type="http://schemas.openxmlformats.org/officeDocument/2006/relationships/hyperlink" Target="https://www.tiktok.com/@proalumad/video/7541352573593324808" TargetMode="External"/><Relationship Id="rId6" Type="http://schemas.openxmlformats.org/officeDocument/2006/relationships/hyperlink" Target="https://www.tiktok.com/@tamarisstores2009/video/7340389793223724294" TargetMode="External"/><Relationship Id="rId7" Type="http://schemas.openxmlformats.org/officeDocument/2006/relationships/hyperlink" Target="https://www.tiktok.com/@aluminooo/video/7602743628905057557" TargetMode="External"/><Relationship Id="rId8" Type="http://schemas.openxmlformats.org/officeDocument/2006/relationships/hyperlink" Target="https://www.tiktok.com/@alocuisines/video/7288763769570839813" TargetMode="External"/><Relationship Id="rId9" Type="http://schemas.openxmlformats.org/officeDocument/2006/relationships/hyperlink" Target="https://www.tiktok.com/@oussamahirche/video/7655816058258853141" TargetMode="External"/><Relationship Id="rId10" Type="http://schemas.openxmlformats.org/officeDocument/2006/relationships/hyperlink" Target="https://www.tiktok.com/@proalumad/video/7639412122660769045" TargetMode="External"/><Relationship Id="rId11" Type="http://schemas.openxmlformats.org/officeDocument/2006/relationships/hyperlink" Target="https://www.tiktok.com/@alu.mamoune/video/7555038195470093586" TargetMode="External"/><Relationship Id="rId12" Type="http://schemas.openxmlformats.org/officeDocument/2006/relationships/hyperlink" Target="https://www.tiktok.com/@chinawindowsdoors/video/7434373688859921672" TargetMode="External"/><Relationship Id="rId13" Type="http://schemas.openxmlformats.org/officeDocument/2006/relationships/hyperlink" Target="https://www.tiktok.com/@omy.window.and.door0/video/7488288149555334446" TargetMode="External"/><Relationship Id="rId14" Type="http://schemas.openxmlformats.org/officeDocument/2006/relationships/hyperlink" Target="https://www.tiktok.com/@windowhome1/video/7347574448490319147" TargetMode="External"/><Relationship Id="rId15" Type="http://schemas.openxmlformats.org/officeDocument/2006/relationships/hyperlink" Target="https://www.tiktok.com/@windowhome1/video/7360507063526608170" TargetMode="External"/><Relationship Id="rId16" Type="http://schemas.openxmlformats.org/officeDocument/2006/relationships/hyperlink" Target="https://www.tiktok.com/@blinds2go.official/video/7651300960135957782" TargetMode="External"/><Relationship Id="rId17" Type="http://schemas.openxmlformats.org/officeDocument/2006/relationships/hyperlink" Target="https://www.tiktok.com/@chinawindowsdoors/video/7436946128278424850" TargetMode="External"/><Relationship Id="rId18" Type="http://schemas.openxmlformats.org/officeDocument/2006/relationships/drawing" Target="../drawings/drawing5.xml"/>
</Relationships>
</file>

<file path=xl/worksheets/_rels/sheet15.xml.rels><?xml version="1.0" encoding="UTF-8"?>
<Relationships xmlns="http://schemas.openxmlformats.org/package/2006/relationships"><Relationship Id="rId1" Type="http://schemas.openxmlformats.org/officeDocument/2006/relationships/hyperlink" Target="https://www.tiktok.com/@chinawindowsdoors/video/7434373688859921672" TargetMode="External"/><Relationship Id="rId2" Type="http://schemas.openxmlformats.org/officeDocument/2006/relationships/hyperlink" Target="https://www.tiktok.com/@proalumad/video/7075315096817306885" TargetMode="External"/><Relationship Id="rId3" Type="http://schemas.openxmlformats.org/officeDocument/2006/relationships/hyperlink" Target="https://www.tiktok.com/@proalumad/video/7288013328054488326" TargetMode="External"/><Relationship Id="rId4" Type="http://schemas.openxmlformats.org/officeDocument/2006/relationships/hyperlink" Target="https://www.tiktok.com/@omy.window.and.door0/video/7488288149555334446" TargetMode="External"/><Relationship Id="rId5" Type="http://schemas.openxmlformats.org/officeDocument/2006/relationships/hyperlink" Target="https://www.tiktok.com/@windowhome1/video/7347574448490319147" TargetMode="External"/><Relationship Id="rId6" Type="http://schemas.openxmlformats.org/officeDocument/2006/relationships/hyperlink" Target="https://www.tiktok.com/@windowhome1/video/7360507063526608170" TargetMode="External"/><Relationship Id="rId7" Type="http://schemas.openxmlformats.org/officeDocument/2006/relationships/hyperlink" Target="https://www.tiktok.com/@blinds2go.official/video/7651300960135957782" TargetMode="External"/><Relationship Id="rId8" Type="http://schemas.openxmlformats.org/officeDocument/2006/relationships/hyperlink" Target="https://www.tiktok.com/@chinawindowsdoors/video/7436946128278424850" TargetMode="External"/><Relationship Id="rId9" Type="http://schemas.openxmlformats.org/officeDocument/2006/relationships/hyperlink" Target="https://www.tiktok.com/@chinawindowsdoors/video/7456647456017616135" TargetMode="External"/><Relationship Id="rId10" Type="http://schemas.openxmlformats.org/officeDocument/2006/relationships/hyperlink" Target="https://www.tiktok.com/@proalumad/video/7591110042548538645" TargetMode="External"/><Relationship Id="rId11" Type="http://schemas.openxmlformats.org/officeDocument/2006/relationships/hyperlink" Target="https://www.tiktok.com/@siddiquealuminumandglass/video/7676841474662714644" TargetMode="External"/><Relationship Id="rId12" Type="http://schemas.openxmlformats.org/officeDocument/2006/relationships/hyperlink" Target="https://www.tiktok.com/@alu.mamoune/video/7323879084658887942" TargetMode="External"/><Relationship Id="rId13" Type="http://schemas.openxmlformats.org/officeDocument/2006/relationships/hyperlink" Target="https://www.tiktok.com/@proalumad/video/7541352573593324808" TargetMode="External"/><Relationship Id="rId14" Type="http://schemas.openxmlformats.org/officeDocument/2006/relationships/hyperlink" Target="https://www.tiktok.com/@tamarisstores2009/video/7340389793223724294" TargetMode="External"/><Relationship Id="rId15" Type="http://schemas.openxmlformats.org/officeDocument/2006/relationships/hyperlink" Target="https://www.tiktok.com/@globalmenuiseriealumini0/video/7363368754354326789" TargetMode="External"/><Relationship Id="rId16" Type="http://schemas.openxmlformats.org/officeDocument/2006/relationships/hyperlink" Target="https://www.tiktok.com/@aluminium1973/video/7625335639147597077" TargetMode="External"/><Relationship Id="rId17" Type="http://schemas.openxmlformats.org/officeDocument/2006/relationships/hyperlink" Target="https://www.tiktok.com/@aluminooo/video/7602743628905057557" TargetMode="External"/><Relationship Id="rId18" Type="http://schemas.openxmlformats.org/officeDocument/2006/relationships/hyperlink" Target="https://www.tiktok.com/@moukhtyalu/video/7510704503914581254" TargetMode="External"/><Relationship Id="rId19" Type="http://schemas.openxmlformats.org/officeDocument/2006/relationships/hyperlink" Target="https://www.tiktok.com/@auliving_/video/7430667891546049800" TargetMode="External"/><Relationship Id="rId20" Type="http://schemas.openxmlformats.org/officeDocument/2006/relationships/hyperlink" Target="https://www.tiktok.com/@moukhtyalu/video/7500157486444383493" TargetMode="External"/><Relationship Id="rId21" Type="http://schemas.openxmlformats.org/officeDocument/2006/relationships/hyperlink" Target="https://www.tiktok.com/@lawgu1/video/7562520956921597204" TargetMode="External"/><Relationship Id="rId22" Type="http://schemas.openxmlformats.org/officeDocument/2006/relationships/hyperlink" Target="https://www.tiktok.com/@mj.metalwork/video/7486404461406113079" TargetMode="External"/><Relationship Id="rId23" Type="http://schemas.openxmlformats.org/officeDocument/2006/relationships/hyperlink" Target="https://www.tiktok.com/@tianmailnteriordoors/video/7548087027162451230" TargetMode="External"/><Relationship Id="rId24" Type="http://schemas.openxmlformats.org/officeDocument/2006/relationships/hyperlink" Target="https://www.tiktok.com/@yuli_brasilita/video/7611830520263068949" TargetMode="External"/><Relationship Id="rId25" Type="http://schemas.openxmlformats.org/officeDocument/2006/relationships/hyperlink" Target="https://www.tiktok.com/@estudiolfarq/video/7219331951684078854" TargetMode="External"/><Relationship Id="rId26" Type="http://schemas.openxmlformats.org/officeDocument/2006/relationships/hyperlink" Target="https://www.tiktok.com/@alocuisines/video/7288763769570839813" TargetMode="External"/><Relationship Id="rId27" Type="http://schemas.openxmlformats.org/officeDocument/2006/relationships/hyperlink" Target="https://www.tiktok.com/@ho.qunh65/video/7680797918495788295" TargetMode="External"/><Relationship Id="rId28" Type="http://schemas.openxmlformats.org/officeDocument/2006/relationships/hyperlink" Target="https://www.tiktok.com/@oussamahirche/video/7655816058258853141" TargetMode="External"/><Relationship Id="rId29" Type="http://schemas.openxmlformats.org/officeDocument/2006/relationships/hyperlink" Target="https://www.tiktok.com/@emirahmanresources/video/7397205677506039061" TargetMode="External"/><Relationship Id="rId30" Type="http://schemas.openxmlformats.org/officeDocument/2006/relationships/hyperlink" Target="https://www.tiktok.com/@huajianaluminumgroup/video/7647436745717386526" TargetMode="External"/><Relationship Id="rId31" Type="http://schemas.openxmlformats.org/officeDocument/2006/relationships/hyperlink" Target="https://www.tiktok.com/@proalumad/video/7639412122660769045" TargetMode="External"/><Relationship Id="rId32" Type="http://schemas.openxmlformats.org/officeDocument/2006/relationships/hyperlink" Target="https://www.tiktok.com/@zakariaa.haddad/video/7669004080731180306" TargetMode="External"/><Relationship Id="rId33" Type="http://schemas.openxmlformats.org/officeDocument/2006/relationships/hyperlink" Target="https://www.tiktok.com/@qnqhouse/video/7292701970362567942" TargetMode="External"/><Relationship Id="rId34" Type="http://schemas.openxmlformats.org/officeDocument/2006/relationships/hyperlink" Target="https://www.tiktok.com/@huajianaluminumprofile/video/7532339422289743159" TargetMode="External"/><Relationship Id="rId35" Type="http://schemas.openxmlformats.org/officeDocument/2006/relationships/hyperlink" Target="https://www.tiktok.com/@alu.mamoune/video/7555038195470093586" TargetMode="External"/><Relationship Id="rId36" Type="http://schemas.openxmlformats.org/officeDocument/2006/relationships/hyperlink" Target="https://www.tiktok.com/@houichisofien/video/7331032097932561670" TargetMode="External"/><Relationship Id="rId37" Type="http://schemas.openxmlformats.org/officeDocument/2006/relationships/hyperlink" Target="https://www.tiktok.com/@arizal_aluminium/video/7525802301802515768" TargetMode="External"/><Relationship Id="rId38" Type="http://schemas.openxmlformats.org/officeDocument/2006/relationships/hyperlink" Target="https://www.tiktok.com/@malex_home/video/7600832535916039446" TargetMode="External"/><Relationship Id="rId39" Type="http://schemas.openxmlformats.org/officeDocument/2006/relationships/hyperlink" Target="https://www.tiktok.com/@kajobaashraf/video/7698981386421554452" TargetMode="External"/><Relationship Id="rId40" Type="http://schemas.openxmlformats.org/officeDocument/2006/relationships/hyperlink" Target="https://www.tiktok.com/@mounir.231/video/7604174417404480786" TargetMode="External"/><Relationship Id="rId41" Type="http://schemas.openxmlformats.org/officeDocument/2006/relationships/hyperlink" Target="https://www.tiktok.com/@yehyaaluminium/video/7605670193569746194" TargetMode="External"/><Relationship Id="rId42" Type="http://schemas.openxmlformats.org/officeDocument/2006/relationships/hyperlink" Target="https://www.tiktok.com/@aluminium_oujaiou/video/7564512090153585941" TargetMode="External"/><Relationship Id="rId43" Type="http://schemas.openxmlformats.org/officeDocument/2006/relationships/hyperlink" Target="https://www.tiktok.com/@metalworklh/video/7660893719746448670" TargetMode="External"/><Relationship Id="rId44" Type="http://schemas.openxmlformats.org/officeDocument/2006/relationships/hyperlink" Target="https://www.tiktok.com/@abgslidingdoor/video/7498336019490671890" TargetMode="External"/><Relationship Id="rId45" Type="http://schemas.openxmlformats.org/officeDocument/2006/relationships/hyperlink" Target="https://www.tiktok.com/@haixuan_aluminum02/video/7615262818010549522" TargetMode="External"/><Relationship Id="rId46" Type="http://schemas.openxmlformats.org/officeDocument/2006/relationships/hyperlink" Target="https://www.tiktok.com/@siddiquealuminumandglass/video/7655228589725519124" TargetMode="External"/><Relationship Id="rId47" Type="http://schemas.openxmlformats.org/officeDocument/2006/relationships/hyperlink" Target="https://www.tiktok.com/@zaki.aluminiumpro/video/7476896291159543046" TargetMode="External"/><Relationship Id="rId48" Type="http://schemas.openxmlformats.org/officeDocument/2006/relationships/hyperlink" Target="https://www.tiktok.com/@mzaluminium/video/7610790520553491733" TargetMode="External"/><Relationship Id="rId49" Type="http://schemas.openxmlformats.org/officeDocument/2006/relationships/hyperlink" Target="https://www.tiktok.com/@abderrahimrachdi3/video/7652308692381093141" TargetMode="External"/><Relationship Id="rId50" Type="http://schemas.openxmlformats.org/officeDocument/2006/relationships/hyperlink" Target="https://www.tiktok.com/@aluminum.youssef8/video/7681312975394983176" TargetMode="External"/><Relationship Id="rId51" Type="http://schemas.openxmlformats.org/officeDocument/2006/relationships/hyperlink" Target="https://www.tiktok.com/@lumora.homee/video/7592615429827317000" TargetMode="External"/><Relationship Id="rId52" Type="http://schemas.openxmlformats.org/officeDocument/2006/relationships/hyperlink" Target="https://www.tiktok.com/@tottme_engineering/video/7609899087722204446" TargetMode="External"/><Relationship Id="rId53" Type="http://schemas.openxmlformats.org/officeDocument/2006/relationships/hyperlink" Target="https://www.tiktok.com/@aluminium_oujaiou/video/7566367003397672212" TargetMode="External"/><Relationship Id="rId54" Type="http://schemas.openxmlformats.org/officeDocument/2006/relationships/hyperlink" Target="https://www.tiktok.com/@mandlabuild/video/7698689658825346311" TargetMode="External"/><Relationship Id="rId55" Type="http://schemas.openxmlformats.org/officeDocument/2006/relationships/hyperlink" Target="https://www.tiktok.com/@ayoub.aluminium/video/7562646380280401170" TargetMode="External"/><Relationship Id="rId56" Type="http://schemas.openxmlformats.org/officeDocument/2006/relationships/hyperlink" Target="https://www.tiktok.com/@entreprisediaaluminium/video/7637702016172707092" TargetMode="External"/><Relationship Id="rId57" Type="http://schemas.openxmlformats.org/officeDocument/2006/relationships/hyperlink" Target="https://www.tiktok.com/@zaki.aluminiumpro/video/7512933943448964357" TargetMode="External"/><Relationship Id="rId58" Type="http://schemas.openxmlformats.org/officeDocument/2006/relationships/hyperlink" Target="https://www.tiktok.com/@inoxaluminiu/video/7641946515828657441" TargetMode="External"/><Relationship Id="rId59" Type="http://schemas.openxmlformats.org/officeDocument/2006/relationships/hyperlink" Target="https://www.tiktok.com/@glassworthbuilders/video/7506872123126779143" TargetMode="External"/><Relationship Id="rId60" Type="http://schemas.openxmlformats.org/officeDocument/2006/relationships/hyperlink" Target="https://www.tiktok.com/@ttm.aluminium/video/7559909405710421256" TargetMode="External"/><Relationship Id="rId61" Type="http://schemas.openxmlformats.org/officeDocument/2006/relationships/hyperlink" Target="https://www.tiktok.com/@siddiquealuminumandglass/video/7664256810811002133" TargetMode="External"/><Relationship Id="rId62" Type="http://schemas.openxmlformats.org/officeDocument/2006/relationships/hyperlink" Target="https://www.tiktok.com/@ar.aluminium4/video/7474649480273349943" TargetMode="External"/><Relationship Id="rId63" Type="http://schemas.openxmlformats.org/officeDocument/2006/relationships/hyperlink" Target="https://www.tiktok.com/@jldoorsandwindows/video/7453300111435697416" TargetMode="External"/><Relationship Id="rId64" Type="http://schemas.openxmlformats.org/officeDocument/2006/relationships/hyperlink" Target="https://www.tiktok.com/@osmangani060/video/7486962591630396679" TargetMode="External"/><Relationship Id="rId65" Type="http://schemas.openxmlformats.org/officeDocument/2006/relationships/hyperlink" Target="https://www.tiktok.com/@illusion.store19/video/7370275803487079685" TargetMode="External"/><Relationship Id="rId66" Type="http://schemas.openxmlformats.org/officeDocument/2006/relationships/hyperlink" Target="https://www.tiktok.com/@aluminium1973/video/7631292868690234645" TargetMode="External"/><Relationship Id="rId67" Type="http://schemas.openxmlformats.org/officeDocument/2006/relationships/hyperlink" Target="https://www.tiktok.com/@pro.deco.fermetures/video/7098864066617249029" TargetMode="External"/><Relationship Id="rId68" Type="http://schemas.openxmlformats.org/officeDocument/2006/relationships/hyperlink" Target="https://www.tiktok.com/@algalplus_extrusion/video/7509946275006057733" TargetMode="External"/><Relationship Id="rId69" Type="http://schemas.openxmlformats.org/officeDocument/2006/relationships/hyperlink" Target="https://www.tiktok.com/@budiluhuraluminium/video/7663023969288883474" TargetMode="External"/><Relationship Id="rId70" Type="http://schemas.openxmlformats.org/officeDocument/2006/relationships/hyperlink" Target="https://www.tiktok.com/@proalumad/video/7632815695285259541" TargetMode="External"/><Relationship Id="rId71" Type="http://schemas.openxmlformats.org/officeDocument/2006/relationships/hyperlink" Target="https://www.tiktok.com/@arizal_aluminium/video/7483953696850677047" TargetMode="External"/><Relationship Id="rId72" Type="http://schemas.openxmlformats.org/officeDocument/2006/relationships/hyperlink" Target="https://www.tiktok.com/@jasonjohnsham1/video/7698050561962167559" TargetMode="External"/><Relationship Id="rId73" Type="http://schemas.openxmlformats.org/officeDocument/2006/relationships/hyperlink" Target="https://www.tiktok.com/@kajobaashraf/video/7698985673616788756" TargetMode="External"/><Relationship Id="rId74" Type="http://schemas.openxmlformats.org/officeDocument/2006/relationships/hyperlink" Target="https://www.tiktok.com/@cuisinealuminiumzemzem/video/7127410633481456902" TargetMode="External"/><Relationship Id="rId75" Type="http://schemas.openxmlformats.org/officeDocument/2006/relationships/hyperlink" Target="https://www.tiktok.com/@chinawindowsdoors/video/7662959556271688967" TargetMode="External"/><Relationship Id="rId76" Type="http://schemas.openxmlformats.org/officeDocument/2006/relationships/hyperlink" Target="https://www.tiktok.com/@vicky_merpitu/video/7679989268260883720" TargetMode="External"/><Relationship Id="rId77" Type="http://schemas.openxmlformats.org/officeDocument/2006/relationships/hyperlink" Target="https://www.tiktok.com/@ateliers.du.bois.vivant/video/7518171226490014983" TargetMode="External"/><Relationship Id="rId78" Type="http://schemas.openxmlformats.org/officeDocument/2006/relationships/hyperlink" Target="https://www.tiktok.com/@zouiniyoussef/video/7546720636924726536" TargetMode="External"/><Relationship Id="rId79" Type="http://schemas.openxmlformats.org/officeDocument/2006/relationships/hyperlink" Target="https://www.tiktok.com/@tasfawt.travaux/video/7557805030141611272" TargetMode="External"/><Relationship Id="rId80" Type="http://schemas.openxmlformats.org/officeDocument/2006/relationships/hyperlink" Target="https://www.tiktok.com/@nurulauliyau/video/7657085091956460821" TargetMode="External"/><Relationship Id="rId81" Type="http://schemas.openxmlformats.org/officeDocument/2006/relationships/hyperlink" Target="https://www.tiktok.com/@nahdalum/video/7559948546762444040" TargetMode="External"/><Relationship Id="rId82" Type="http://schemas.openxmlformats.org/officeDocument/2006/relationships/hyperlink" Target="https://www.tiktok.com/@mounir.231/video/7598977215052762379" TargetMode="External"/><Relationship Id="rId83" Type="http://schemas.openxmlformats.org/officeDocument/2006/relationships/hyperlink" Target="https://www.tiktok.com/@alu.mamoune/video/7627818129695362324" TargetMode="External"/><Relationship Id="rId84" Type="http://schemas.openxmlformats.org/officeDocument/2006/relationships/hyperlink" Target="https://www.tiktok.com/@expertalupro/video/7598989579886021921" TargetMode="External"/><Relationship Id="rId85" Type="http://schemas.openxmlformats.org/officeDocument/2006/relationships/hyperlink" Target="https://www.tiktok.com/@jaouadmachachi/video/6987418058356690182" TargetMode="External"/><Relationship Id="rId86" Type="http://schemas.openxmlformats.org/officeDocument/2006/relationships/hyperlink" Target="https://www.tiktok.com/@aluminooo/video/7147370993592421637" TargetMode="External"/><Relationship Id="rId87" Type="http://schemas.openxmlformats.org/officeDocument/2006/relationships/hyperlink" Target="https://www.tiktok.com/@zaki.aluminiumpro/video/7466106265807211782" TargetMode="External"/><Relationship Id="rId88" Type="http://schemas.openxmlformats.org/officeDocument/2006/relationships/hyperlink" Target="https://www.tiktok.com/@aluminum_profile_factory/video/7581321785237359903" TargetMode="External"/><Relationship Id="rId89" Type="http://schemas.openxmlformats.org/officeDocument/2006/relationships/hyperlink" Target="https://www.tiktok.com/@climconfort.pro/video/7597751639868656918" TargetMode="External"/><Relationship Id="rId90" Type="http://schemas.openxmlformats.org/officeDocument/2006/relationships/hyperlink" Target="https://www.tiktok.com/@spesialis.las.aluminium/video/7592915772163640583" TargetMode="External"/><Relationship Id="rId91" Type="http://schemas.openxmlformats.org/officeDocument/2006/relationships/hyperlink" Target="https://www.tiktok.com/@mdinox9/video/7657184299719953682" TargetMode="External"/><Relationship Id="rId92" Type="http://schemas.openxmlformats.org/officeDocument/2006/relationships/hyperlink" Target="https://www.tiktok.com/@chantier.11/video/7342564443802324256" TargetMode="External"/><Relationship Id="rId93" Type="http://schemas.openxmlformats.org/officeDocument/2006/relationships/hyperlink" Target="https://www.tiktok.com/@m_z.alu/video/7597428037759651083" TargetMode="External"/><Relationship Id="rId94" Type="http://schemas.openxmlformats.org/officeDocument/2006/relationships/hyperlink" Target="https://www.tiktok.com/@said__er1/video/7653850710609628423" TargetMode="External"/><Relationship Id="rId95" Type="http://schemas.openxmlformats.org/officeDocument/2006/relationships/hyperlink" Target="https://www.tiktok.com/@cuisin_aluminum_officiel/video/7663192364596530439" TargetMode="External"/><Relationship Id="rId96" Type="http://schemas.openxmlformats.org/officeDocument/2006/relationships/hyperlink" Target="https://www.tiktok.com/@ayoub.aluminium/video/7630921780634422536" TargetMode="External"/><Relationship Id="rId97" Type="http://schemas.openxmlformats.org/officeDocument/2006/relationships/hyperlink" Target="https://www.tiktok.com/@enzadeco69/video/7602294039433448726" TargetMode="External"/><Relationship Id="rId98" Type="http://schemas.openxmlformats.org/officeDocument/2006/relationships/hyperlink" Target="https://www.tiktok.com/@aluminum_profile_factory/video/7606209108445859103" TargetMode="External"/><Relationship Id="rId99" Type="http://schemas.openxmlformats.org/officeDocument/2006/relationships/hyperlink" Target="https://www.tiktok.com/@twyford.tiles5/video/7605148957127216402" TargetMode="External"/><Relationship Id="rId100" Type="http://schemas.openxmlformats.org/officeDocument/2006/relationships/hyperlink" Target="https://www.tiktok.com/@markglassoffciel/video/7616821705012563221" TargetMode="External"/><Relationship Id="rId101" Type="http://schemas.openxmlformats.org/officeDocument/2006/relationships/hyperlink" Target="https://www.tiktok.com/@chinawindowsdoors/video/7649652809557609735" TargetMode="External"/><Relationship Id="rId102" Type="http://schemas.openxmlformats.org/officeDocument/2006/relationships/hyperlink" Target="https://www.tiktok.com/@ayoub.aluminium/video/7574881992429374738" TargetMode="External"/><Relationship Id="rId103" Type="http://schemas.openxmlformats.org/officeDocument/2006/relationships/hyperlink" Target="https://www.tiktok.com/@alocuisines/video/7237111478984166661" TargetMode="External"/><Relationship Id="rId104" Type="http://schemas.openxmlformats.org/officeDocument/2006/relationships/hyperlink" Target="https://www.tiktok.com/@wajihat.almohtarif/video/7493211277221743927" TargetMode="External"/><Relationship Id="rId105" Type="http://schemas.openxmlformats.org/officeDocument/2006/relationships/hyperlink" Target="https://www.tiktok.com/@markglassoffciel/video/7600905057260899604" TargetMode="External"/><Relationship Id="rId106" Type="http://schemas.openxmlformats.org/officeDocument/2006/relationships/hyperlink" Target="https://www.tiktok.com/@alocuisines/video/7098062441342405893" TargetMode="External"/><Relationship Id="rId107" Type="http://schemas.openxmlformats.org/officeDocument/2006/relationships/hyperlink" Target="https://www.tiktok.com/@siddiquealuminumandglass/video/7645164618670787860" TargetMode="External"/><Relationship Id="rId108" Type="http://schemas.openxmlformats.org/officeDocument/2006/relationships/hyperlink" Target="https://www.tiktok.com/@kawner1/video/7637941592124312852" TargetMode="External"/><Relationship Id="rId109" Type="http://schemas.openxmlformats.org/officeDocument/2006/relationships/hyperlink" Target="https://www.tiktok.com/@deutschconfortt/video/7634149817517690119" TargetMode="External"/><Relationship Id="rId110" Type="http://schemas.openxmlformats.org/officeDocument/2006/relationships/hyperlink" Target="https://www.tiktok.com/@north.aluminium/video/7640863918335773970" TargetMode="External"/><Relationship Id="rId111" Type="http://schemas.openxmlformats.org/officeDocument/2006/relationships/hyperlink" Target="https://www.tiktok.com/@hsmcfactory/video/7633352632865737997" TargetMode="External"/><Relationship Id="rId112" Type="http://schemas.openxmlformats.org/officeDocument/2006/relationships/hyperlink" Target="https://www.tiktok.com/@aluminiumomar/video/7605366253758319880" TargetMode="External"/><Relationship Id="rId113" Type="http://schemas.openxmlformats.org/officeDocument/2006/relationships/hyperlink" Target="https://www.tiktok.com/@cuisinealuminium/video/7301772186258312454" TargetMode="External"/><Relationship Id="rId114" Type="http://schemas.openxmlformats.org/officeDocument/2006/relationships/hyperlink" Target="https://www.tiktok.com/@zhejiangboma/video/7586644756382387486" TargetMode="External"/><Relationship Id="rId115" Type="http://schemas.openxmlformats.org/officeDocument/2006/relationships/hyperlink" Target="https://www.tiktok.com/@jlchinafoshanfurniture/video/7485937332412075295" TargetMode="External"/><Relationship Id="rId116" Type="http://schemas.openxmlformats.org/officeDocument/2006/relationships/hyperlink" Target="https://www.tiktok.com/@lipeng.hardware/video/7484125919620123911" TargetMode="External"/><Relationship Id="rId117" Type="http://schemas.openxmlformats.org/officeDocument/2006/relationships/hyperlink" Target="https://www.tiktok.com/@zaki.aluminiumpro/video/7478042262841183494" TargetMode="External"/><Relationship Id="rId118" Type="http://schemas.openxmlformats.org/officeDocument/2006/relationships/hyperlink" Target="https://www.tiktok.com/@jaouadmachachi/video/6987421396662045957" TargetMode="External"/><Relationship Id="rId119" Type="http://schemas.openxmlformats.org/officeDocument/2006/relationships/hyperlink" Target="https://www.tiktok.com/@cuisinealuminium/video/7309486394500582662" TargetMode="External"/><Relationship Id="rId120" Type="http://schemas.openxmlformats.org/officeDocument/2006/relationships/hyperlink" Target="https://www.tiktok.com/@antigaspicaudry/video/7616804609536904480" TargetMode="External"/><Relationship Id="rId121" Type="http://schemas.openxmlformats.org/officeDocument/2006/relationships/hyperlink" Target="https://www.tiktok.com/@chouaib_design/video/7667666685171830023" TargetMode="External"/><Relationship Id="rId122" Type="http://schemas.openxmlformats.org/officeDocument/2006/relationships/hyperlink" Target="https://www.tiktok.com/@cuisin_aluminum_officiel/video/7599781703044943122" TargetMode="External"/><Relationship Id="rId123" Type="http://schemas.openxmlformats.org/officeDocument/2006/relationships/hyperlink" Target="https://www.tiktok.com/@k.c.hglassandaluminiumpr/video/7643053012520307988" TargetMode="External"/><Relationship Id="rId124" Type="http://schemas.openxmlformats.org/officeDocument/2006/relationships/hyperlink" Target="https://www.tiktok.com/@cuisin_aluminum_officiel/video/7517360878581189894" TargetMode="External"/><Relationship Id="rId125" Type="http://schemas.openxmlformats.org/officeDocument/2006/relationships/hyperlink" Target="https://www.tiktok.com/@ismailmakoui/video/7476634111990418743" TargetMode="External"/><Relationship Id="rId126" Type="http://schemas.openxmlformats.org/officeDocument/2006/relationships/hyperlink" Target="https://www.tiktok.com/@cuisine_pvc_kenitra/video/7289905802771483910" TargetMode="External"/><Relationship Id="rId127" Type="http://schemas.openxmlformats.org/officeDocument/2006/relationships/hyperlink" Target="https://www.tiktok.com/@alocuisines/video/7210008992926518533" TargetMode="External"/><Relationship Id="rId128" Type="http://schemas.openxmlformats.org/officeDocument/2006/relationships/hyperlink" Target="https://www.tiktok.com/@forsy.cales/video/7555920542482795799" TargetMode="External"/><Relationship Id="rId129" Type="http://schemas.openxmlformats.org/officeDocument/2006/relationships/hyperlink" Target="https://www.tiktok.com/@orbitprints24/video/7643191365840424212" TargetMode="External"/><Relationship Id="rId130" Type="http://schemas.openxmlformats.org/officeDocument/2006/relationships/hyperlink" Target="https://www.tiktok.com/@harmosai/video/7454253643555032327" TargetMode="External"/><Relationship Id="rId131" Type="http://schemas.openxmlformats.org/officeDocument/2006/relationships/hyperlink" Target="https://www.tiktok.com/@aluminium_oujaiou/video/7574899004870479112" TargetMode="External"/><Relationship Id="rId132" Type="http://schemas.openxmlformats.org/officeDocument/2006/relationships/hyperlink" Target="https://www.tiktok.com/@goraniang77/video/7446501845603716357" TargetMode="External"/><Relationship Id="rId133" Type="http://schemas.openxmlformats.org/officeDocument/2006/relationships/hyperlink" Target="https://www.tiktok.com/@papzaluminum/video/7509454142121790727" TargetMode="External"/><Relationship Id="rId134" Type="http://schemas.openxmlformats.org/officeDocument/2006/relationships/hyperlink" Target="https://www.tiktok.com/@wajihat.almohtarif/video/7630431469252463890" TargetMode="External"/><Relationship Id="rId135" Type="http://schemas.openxmlformats.org/officeDocument/2006/relationships/hyperlink" Target="https://www.tiktok.com/@bouchrametal/video/7578305580725488952" TargetMode="External"/><Relationship Id="rId136" Type="http://schemas.openxmlformats.org/officeDocument/2006/relationships/hyperlink" Target="https://www.tiktok.com/@mehdialuminium1973/video/7535554747483327746" TargetMode="External"/><Relationship Id="rId137" Type="http://schemas.openxmlformats.org/officeDocument/2006/relationships/hyperlink" Target="https://www.tiktok.com/@homedecor.tetouan/video/7418937269270089002" TargetMode="External"/><Relationship Id="rId138" Type="http://schemas.openxmlformats.org/officeDocument/2006/relationships/hyperlink" Target="https://www.tiktok.com/@gryffin_doors/video/7592275074602781973" TargetMode="External"/><Relationship Id="rId139" Type="http://schemas.openxmlformats.org/officeDocument/2006/relationships/hyperlink" Target="https://www.tiktok.com/@aluminiumomar/video/7646428821587283207" TargetMode="External"/><Relationship Id="rId140" Type="http://schemas.openxmlformats.org/officeDocument/2006/relationships/hyperlink" Target="https://www.tiktok.com/@abdellah.archi/video/7279130925705825542" TargetMode="External"/><Relationship Id="rId141" Type="http://schemas.openxmlformats.org/officeDocument/2006/relationships/hyperlink" Target="https://www.tiktok.com/@enzadeco69/video/7625979346284612866" TargetMode="External"/><Relationship Id="rId142" Type="http://schemas.openxmlformats.org/officeDocument/2006/relationships/hyperlink" Target="https://www.tiktok.com/@gil.sard.alu/video/7564447213577932054" TargetMode="External"/><Relationship Id="rId143" Type="http://schemas.openxmlformats.org/officeDocument/2006/relationships/hyperlink" Target="https://www.tiktok.com/@aurelia1li/video/7688619262042295582" TargetMode="External"/><Relationship Id="rId144" Type="http://schemas.openxmlformats.org/officeDocument/2006/relationships/hyperlink" Target="https://www.tiktok.com/@dellyfever/video/7535998808191241502" TargetMode="External"/><Relationship Id="rId145" Type="http://schemas.openxmlformats.org/officeDocument/2006/relationships/hyperlink" Target="https://www.tiktok.com/@lora_aluokna_kz/video/7656836183875521810" TargetMode="External"/><Relationship Id="rId146" Type="http://schemas.openxmlformats.org/officeDocument/2006/relationships/hyperlink" Target="https://www.tiktok.com/@zouiniyoussef/video/7375523617976716550" TargetMode="External"/><Relationship Id="rId147" Type="http://schemas.openxmlformats.org/officeDocument/2006/relationships/hyperlink" Target="https://www.tiktok.com/@zaki.aluminiumpro/video/7477320969829223685" TargetMode="External"/><Relationship Id="rId148" Type="http://schemas.openxmlformats.org/officeDocument/2006/relationships/hyperlink" Target="https://www.tiktok.com/@gil.sard.alu/video/7598964582379736342" TargetMode="External"/><Relationship Id="rId149" Type="http://schemas.openxmlformats.org/officeDocument/2006/relationships/hyperlink" Target="https://www.tiktok.com/@gaindaquioag/video/7529406311574916370" TargetMode="External"/><Relationship Id="rId150" Type="http://schemas.openxmlformats.org/officeDocument/2006/relationships/hyperlink" Target="https://www.tiktok.com/@latelierduverre/video/7633922072783162644" TargetMode="External"/><Relationship Id="rId151" Type="http://schemas.openxmlformats.org/officeDocument/2006/relationships/hyperlink" Target="https://www.tiktok.com/@wanjiadoor_/video/7610995832149511437" TargetMode="External"/><Relationship Id="rId152" Type="http://schemas.openxmlformats.org/officeDocument/2006/relationships/hyperlink" Target="https://www.tiktok.com/@m_z_alu/video/7601123716298312980" TargetMode="External"/><Relationship Id="rId153" Type="http://schemas.openxmlformats.org/officeDocument/2006/relationships/hyperlink" Target="https://www.tiktok.com/@rh_alumuneim1/video/7606065200428584212" TargetMode="External"/><Relationship Id="rId154" Type="http://schemas.openxmlformats.org/officeDocument/2006/relationships/hyperlink" Target="https://www.tiktok.com/@vitraf.alu/video/7635697481757625620" TargetMode="External"/><Relationship Id="rId155" Type="http://schemas.openxmlformats.org/officeDocument/2006/relationships/hyperlink" Target="https://www.tiktok.com/@skymaxmaroc.ma/video/7594966469578902792" TargetMode="External"/><Relationship Id="rId156" Type="http://schemas.openxmlformats.org/officeDocument/2006/relationships/hyperlink" Target="https://www.tiktok.com/@zaki.aluminiumpro/video/7478863639236201733" TargetMode="External"/><Relationship Id="rId157" Type="http://schemas.openxmlformats.org/officeDocument/2006/relationships/hyperlink" Target="https://www.tiktok.com/@alkea.solabaie.renoval/video/7214040878006930694" TargetMode="External"/><Relationship Id="rId158" Type="http://schemas.openxmlformats.org/officeDocument/2006/relationships/hyperlink" Target="https://www.tiktok.com/@jaouadmachachi/video/6987405767183813893" TargetMode="External"/><Relationship Id="rId159" Type="http://schemas.openxmlformats.org/officeDocument/2006/relationships/hyperlink" Target="https://www.tiktok.com/@alumtingis/video/7633519707018022152" TargetMode="External"/><Relationship Id="rId160" Type="http://schemas.openxmlformats.org/officeDocument/2006/relationships/hyperlink" Target="https://www.tiktok.com/@erickwibowo01/video/7607479522316881159" TargetMode="External"/><Relationship Id="rId161" Type="http://schemas.openxmlformats.org/officeDocument/2006/relationships/hyperlink" Target="https://www.tiktok.com/@aluminium.safii/video/7580108360243105031" TargetMode="External"/><Relationship Id="rId162" Type="http://schemas.openxmlformats.org/officeDocument/2006/relationships/hyperlink" Target="https://www.tiktok.com/@alupro26/video/7629655038478159124" TargetMode="External"/><Relationship Id="rId163" Type="http://schemas.openxmlformats.org/officeDocument/2006/relationships/hyperlink" Target="https://www.tiktok.com/@gary03392/video/7432287767574400261" TargetMode="External"/><Relationship Id="rId164" Type="http://schemas.openxmlformats.org/officeDocument/2006/relationships/hyperlink" Target="https://www.tiktok.com/@gil.sard.alu/video/7530708755382553878" TargetMode="External"/><Relationship Id="rId165" Type="http://schemas.openxmlformats.org/officeDocument/2006/relationships/hyperlink" Target="https://www.tiktok.com/@zaki.aluminiumpro/video/7499202466643332357" TargetMode="External"/><Relationship Id="rId166" Type="http://schemas.openxmlformats.org/officeDocument/2006/relationships/hyperlink" Target="https://www.tiktok.com/@aluminum.factory.nan/video/7580298510671662354" TargetMode="External"/><Relationship Id="rId167" Type="http://schemas.openxmlformats.org/officeDocument/2006/relationships/hyperlink" Target="https://www.tiktok.com/@joubijalusystem/video/7642838250297576737" TargetMode="External"/><Relationship Id="rId168" Type="http://schemas.openxmlformats.org/officeDocument/2006/relationships/hyperlink" Target="https://www.tiktok.com/@cuisine_pvc_kenitra/video/7341499332463463685" TargetMode="External"/><Relationship Id="rId169" Type="http://schemas.openxmlformats.org/officeDocument/2006/relationships/hyperlink" Target="https://www.tiktok.com/@lihengdoorsandwindows/video/7632132398192397590" TargetMode="External"/><Relationship Id="rId170" Type="http://schemas.openxmlformats.org/officeDocument/2006/relationships/hyperlink" Target="https://www.tiktok.com/@atelier_el_jami/video/7630492488117046535" TargetMode="External"/><Relationship Id="rId171" Type="http://schemas.openxmlformats.org/officeDocument/2006/relationships/hyperlink" Target="https://www.tiktok.com/@chinawindoors/video/7600609886392552735" TargetMode="External"/><Relationship Id="rId172" Type="http://schemas.openxmlformats.org/officeDocument/2006/relationships/hyperlink" Target="https://www.tiktok.com/@cuisinealuminiumzemzem/video/7275431151890730245" TargetMode="External"/><Relationship Id="rId173" Type="http://schemas.openxmlformats.org/officeDocument/2006/relationships/hyperlink" Target="https://www.tiktok.com/@ho.qunh65/video/7674864367912881426" TargetMode="External"/><Relationship Id="rId174" Type="http://schemas.openxmlformats.org/officeDocument/2006/relationships/hyperlink" Target="https://www.tiktok.com/@rofof.fes/video/7698007052467096839" TargetMode="External"/><Relationship Id="rId175" Type="http://schemas.openxmlformats.org/officeDocument/2006/relationships/hyperlink" Target="https://www.tiktok.com/@proalumad/video/7697236319046602004" TargetMode="External"/><Relationship Id="rId176" Type="http://schemas.openxmlformats.org/officeDocument/2006/relationships/hyperlink" Target="https://www.tiktok.com/@amovdesign/video/7220020837963943174" TargetMode="External"/><Relationship Id="rId177" Type="http://schemas.openxmlformats.org/officeDocument/2006/relationships/hyperlink" Target="https://www.tiktok.com/@zaki.aluminiumpro/video/7475865625563237638" TargetMode="External"/><Relationship Id="rId178" Type="http://schemas.openxmlformats.org/officeDocument/2006/relationships/hyperlink" Target="https://www.tiktok.com/@aluteams/video/7289293447758990597" TargetMode="External"/><Relationship Id="rId179" Type="http://schemas.openxmlformats.org/officeDocument/2006/relationships/hyperlink" Target="https://www.tiktok.com/@nestartaluminium/video/7687067055283064085" TargetMode="External"/><Relationship Id="rId180" Type="http://schemas.openxmlformats.org/officeDocument/2006/relationships/hyperlink" Target="https://www.tiktok.com/@mqg_home/video/7681783160736058641" TargetMode="External"/><Relationship Id="rId181" Type="http://schemas.openxmlformats.org/officeDocument/2006/relationships/hyperlink" Target="https://www.tiktok.com/@alu.mamoune/video/7417375661817384197" TargetMode="External"/><Relationship Id="rId182" Type="http://schemas.openxmlformats.org/officeDocument/2006/relationships/hyperlink" Target="https://www.tiktok.com/@wajihat.almohtarif/video/7548874883095072018" TargetMode="External"/><Relationship Id="rId183" Type="http://schemas.openxmlformats.org/officeDocument/2006/relationships/hyperlink" Target="https://www.tiktok.com/@willy_alu_pvc/video/7697017538290502933" TargetMode="External"/><Relationship Id="rId184" Type="http://schemas.openxmlformats.org/officeDocument/2006/relationships/hyperlink" Target="https://www.tiktok.com/@shahzadpunjabiwala/video/7686550433212484886" TargetMode="External"/><Relationship Id="rId185" Type="http://schemas.openxmlformats.org/officeDocument/2006/relationships/hyperlink" Target="https://www.tiktok.com/@aluminiumomar/video/7624303019403906322" TargetMode="External"/><Relationship Id="rId186" Type="http://schemas.openxmlformats.org/officeDocument/2006/relationships/hyperlink" Target="https://www.tiktok.com/@68designcreation/video/7668331731124112673" TargetMode="External"/><Relationship Id="rId187" Type="http://schemas.openxmlformats.org/officeDocument/2006/relationships/hyperlink" Target="https://www.tiktok.com/@alaaeddinn.23/video/7576385783444032776" TargetMode="External"/><Relationship Id="rId188" Type="http://schemas.openxmlformats.org/officeDocument/2006/relationships/hyperlink" Target="https://www.tiktok.com/@isidore652/video/7552407238149754168" TargetMode="External"/><Relationship Id="rId189" Type="http://schemas.openxmlformats.org/officeDocument/2006/relationships/hyperlink" Target="https://www.tiktok.com/@amovdesign/video/7220564109194988806" TargetMode="External"/><Relationship Id="rId190" Type="http://schemas.openxmlformats.org/officeDocument/2006/relationships/hyperlink" Target="https://www.tiktok.com/@profilagedusud/video/7351856178634247430" TargetMode="External"/><Relationship Id="rId191" Type="http://schemas.openxmlformats.org/officeDocument/2006/relationships/hyperlink" Target="https://www.tiktok.com/@builditplusklerksdorp/video/7693530049764445458" TargetMode="External"/><Relationship Id="rId192" Type="http://schemas.openxmlformats.org/officeDocument/2006/relationships/hyperlink" Target="https://www.tiktok.com/@cuisinealuminium/video/7308858647835135237" TargetMode="External"/><Relationship Id="rId193" Type="http://schemas.openxmlformats.org/officeDocument/2006/relationships/hyperlink" Target="https://www.tiktok.com/@alumecharef/video/7586345141510622484" TargetMode="External"/><Relationship Id="rId194" Type="http://schemas.openxmlformats.org/officeDocument/2006/relationships/hyperlink" Target="https://www.tiktok.com/@gil.sard.alu/video/7656147293476752672" TargetMode="External"/><Relationship Id="rId195" Type="http://schemas.openxmlformats.org/officeDocument/2006/relationships/hyperlink" Target="https://www.tiktok.com/@zayna.immo/video/7691384991623679253" TargetMode="External"/><Relationship Id="rId196" Type="http://schemas.openxmlformats.org/officeDocument/2006/relationships/hyperlink" Target="https://www.tiktok.com/@expertalupro/video/7679731501390384416" TargetMode="External"/><Relationship Id="rId197" Type="http://schemas.openxmlformats.org/officeDocument/2006/relationships/hyperlink" Target="https://www.tiktok.com/@jobabat1/video/7156335498909207813" TargetMode="External"/><Relationship Id="rId198" Type="http://schemas.openxmlformats.org/officeDocument/2006/relationships/hyperlink" Target="https://www.tiktok.com/@jobabat1/video/7627449245980855573" TargetMode="External"/><Relationship Id="rId199" Type="http://schemas.openxmlformats.org/officeDocument/2006/relationships/hyperlink" Target="https://www.tiktok.com/@aluminum.factory.nan/video/7690514464256445704" TargetMode="External"/><Relationship Id="rId200" Type="http://schemas.openxmlformats.org/officeDocument/2006/relationships/hyperlink" Target="https://www.tiktok.com/@abrarlum/video/7646321766092082440" TargetMode="External"/><Relationship Id="rId201" Type="http://schemas.openxmlformats.org/officeDocument/2006/relationships/hyperlink" Target="https://www.tiktok.com/@deutschconfortt/video/7624502186235645202" TargetMode="External"/><Relationship Id="rId202" Type="http://schemas.openxmlformats.org/officeDocument/2006/relationships/hyperlink" Target="https://www.tiktok.com/@markglassoffciel/video/7610462267515145492" TargetMode="External"/><Relationship Id="rId203" Type="http://schemas.openxmlformats.org/officeDocument/2006/relationships/hyperlink" Target="https://www.tiktok.com/@kapcarbreuillevert/video/7611564341963410710" TargetMode="External"/><Relationship Id="rId204" Type="http://schemas.openxmlformats.org/officeDocument/2006/relationships/hyperlink" Target="https://www.tiktok.com/@aluminum.factory.nan/video/7654517073837559048" TargetMode="External"/><Relationship Id="rId205" Type="http://schemas.openxmlformats.org/officeDocument/2006/relationships/hyperlink" Target="https://www.tiktok.com/@willy_alu_pvc/video/7698015102208838932" TargetMode="External"/><Relationship Id="rId206" Type="http://schemas.openxmlformats.org/officeDocument/2006/relationships/hyperlink" Target="https://www.tiktok.com/@pukapergola/video/7698350355104517384" TargetMode="External"/><Relationship Id="rId207" Type="http://schemas.openxmlformats.org/officeDocument/2006/relationships/hyperlink" Target="https://www.tiktok.com/@maghreb_design/video/7626472323058552085" TargetMode="External"/><Relationship Id="rId208" Type="http://schemas.openxmlformats.org/officeDocument/2006/relationships/hyperlink" Target="https://www.tiktok.com/@pukapergola/video/7697967772122352914" TargetMode="External"/><Relationship Id="rId209" Type="http://schemas.openxmlformats.org/officeDocument/2006/relationships/hyperlink" Target="https://www.tiktok.com/@benhmed33/video/7627960083795873045" TargetMode="External"/><Relationship Id="rId210" Type="http://schemas.openxmlformats.org/officeDocument/2006/relationships/hyperlink" Target="https://www.tiktok.com/@glass_systems/video/7363552157229993249" TargetMode="External"/><Relationship Id="rId211" Type="http://schemas.openxmlformats.org/officeDocument/2006/relationships/hyperlink" Target="https://www.tiktok.com/@mlaluminium/video/7591417803630972181" TargetMode="External"/><Relationship Id="rId212" Type="http://schemas.openxmlformats.org/officeDocument/2006/relationships/hyperlink" Target="https://www.tiktok.com/@azdinloum00/video/7590482841050385685" TargetMode="External"/><Relationship Id="rId213" Type="http://schemas.openxmlformats.org/officeDocument/2006/relationships/hyperlink" Target="https://www.tiktok.com/@allumix.abarkan/video/7648971341076483336" TargetMode="External"/><Relationship Id="rId214" Type="http://schemas.openxmlformats.org/officeDocument/2006/relationships/hyperlink" Target="https://www.tiktok.com/@mohsineelmouadine/video/7696596812169432327" TargetMode="External"/><Relationship Id="rId215" Type="http://schemas.openxmlformats.org/officeDocument/2006/relationships/hyperlink" Target="https://www.tiktok.com/@mohamedamraoui481/video/7698791155282103604" TargetMode="External"/><Relationship Id="rId216" Type="http://schemas.openxmlformats.org/officeDocument/2006/relationships/hyperlink" Target="https://www.tiktok.com/@alugabon/video/7600719856312257809" TargetMode="External"/><Relationship Id="rId217" Type="http://schemas.openxmlformats.org/officeDocument/2006/relationships/hyperlink" Target="https://www.tiktok.com/@marvel.kigali.gorin/video/7687232188114390280" TargetMode="External"/><Relationship Id="rId218" Type="http://schemas.openxmlformats.org/officeDocument/2006/relationships/hyperlink" Target="https://www.tiktok.com/@aluminium.safii/video/7697962171405307154" TargetMode="External"/><Relationship Id="rId219" Type="http://schemas.openxmlformats.org/officeDocument/2006/relationships/hyperlink" Target="https://www.tiktok.com/@sahara.intelligence/video/7449839690498297120" TargetMode="External"/><Relationship Id="rId220" Type="http://schemas.openxmlformats.org/officeDocument/2006/relationships/hyperlink" Target="https://www.tiktok.com/@kajobaashraf/video/7698475710784015636" TargetMode="External"/><Relationship Id="rId221" Type="http://schemas.openxmlformats.org/officeDocument/2006/relationships/hyperlink" Target="https://www.tiktok.com/@designodoorslimited/video/7679527151703461152" TargetMode="External"/><Relationship Id="rId222" Type="http://schemas.openxmlformats.org/officeDocument/2006/relationships/hyperlink" Target="https://www.tiktok.com/@aluminium.style/video/7666501459814501639" TargetMode="External"/><Relationship Id="rId223" Type="http://schemas.openxmlformats.org/officeDocument/2006/relationships/hyperlink" Target="https://www.tiktok.com/@rm_accessoires1/video/7613524695069003028" TargetMode="External"/><Relationship Id="rId224" Type="http://schemas.openxmlformats.org/officeDocument/2006/relationships/hyperlink" Target="https://www.tiktok.com/@estudiolfarq/video/7582289176230432020" TargetMode="External"/><Relationship Id="rId225" Type="http://schemas.openxmlformats.org/officeDocument/2006/relationships/hyperlink" Target="https://www.tiktok.com/@lamenagere.paris/video/7659831064415735073" TargetMode="External"/><Relationship Id="rId226" Type="http://schemas.openxmlformats.org/officeDocument/2006/relationships/hyperlink" Target="https://www.tiktok.com/@changyuanalu/video/7198069285124672769" TargetMode="External"/><Relationship Id="rId227" Type="http://schemas.openxmlformats.org/officeDocument/2006/relationships/hyperlink" Target="https://www.tiktok.com/@khaledhadjkali/video/7575947445595639058" TargetMode="External"/><Relationship Id="rId228" Type="http://schemas.openxmlformats.org/officeDocument/2006/relationships/hyperlink" Target="https://www.tiktok.com/@aydiscount/video/7647225695323737347" TargetMode="External"/><Relationship Id="rId229" Type="http://schemas.openxmlformats.org/officeDocument/2006/relationships/hyperlink" Target="https://www.tiktok.com/@aluminum.profile0/video/7580610861778291976" TargetMode="External"/><Relationship Id="rId230" Type="http://schemas.openxmlformats.org/officeDocument/2006/relationships/hyperlink" Target="https://www.tiktok.com/@nassimtaamourt/video/7697690722576747828" TargetMode="External"/><Relationship Id="rId231" Type="http://schemas.openxmlformats.org/officeDocument/2006/relationships/hyperlink" Target="https://www.tiktok.com/@zaki.aluminiumpro/video/7474376416902008069" TargetMode="External"/><Relationship Id="rId232" Type="http://schemas.openxmlformats.org/officeDocument/2006/relationships/hyperlink" Target="https://www.tiktok.com/@atouleee.national/video/7508765260036279574" TargetMode="External"/><Relationship Id="rId233" Type="http://schemas.openxmlformats.org/officeDocument/2006/relationships/hyperlink" Target="https://www.tiktok.com/@sidali90k/video/7653861823326031124" TargetMode="External"/><Relationship Id="rId234" Type="http://schemas.openxmlformats.org/officeDocument/2006/relationships/hyperlink" Target="https://www.tiktok.com/@mirrorsdesign/video/7554371290291866887" TargetMode="External"/><Relationship Id="rId235" Type="http://schemas.openxmlformats.org/officeDocument/2006/relationships/hyperlink" Target="https://www.tiktok.com/@joubijalusystem/video/7653596542900636960" TargetMode="External"/><Relationship Id="rId236" Type="http://schemas.openxmlformats.org/officeDocument/2006/relationships/hyperlink" Target="https://www.tiktok.com/@menuiserielembour/video/7042302615966813446" TargetMode="External"/><Relationship Id="rId237" Type="http://schemas.openxmlformats.org/officeDocument/2006/relationships/hyperlink" Target="https://www.tiktok.com/@aluminooo/video/7606474003909250325" TargetMode="External"/><Relationship Id="rId238" Type="http://schemas.openxmlformats.org/officeDocument/2006/relationships/hyperlink" Target="https://www.tiktok.com/@zaki.aluminiumpro/video/7689989589875969332" TargetMode="External"/><Relationship Id="rId239" Type="http://schemas.openxmlformats.org/officeDocument/2006/relationships/hyperlink" Target="https://www.tiktok.com/@alocuisines/video/7237812478875421957" TargetMode="External"/><Relationship Id="rId240" Type="http://schemas.openxmlformats.org/officeDocument/2006/relationships/hyperlink" Target="https://www.tiktok.com/@snay3i_bdarija/video/7297664548385918213" TargetMode="External"/><Relationship Id="rId241" Type="http://schemas.openxmlformats.org/officeDocument/2006/relationships/hyperlink" Target="https://www.tiktok.com/@ideal_aluminium_senegal1/video/7637541022217686292" TargetMode="External"/><Relationship Id="rId242" Type="http://schemas.openxmlformats.org/officeDocument/2006/relationships/hyperlink" Target="https://www.tiktok.com/@novabuildinga/video/7198829318548622597" TargetMode="External"/><Relationship Id="rId243" Type="http://schemas.openxmlformats.org/officeDocument/2006/relationships/hyperlink" Target="https://www.tiktok.com/@penealuminiumtrading/video/7695792782836813076" TargetMode="External"/><Relationship Id="rId244" Type="http://schemas.openxmlformats.org/officeDocument/2006/relationships/hyperlink" Target="https://www.tiktok.com/@arabianart1/video/7551886369250020626" TargetMode="External"/><Relationship Id="rId245" Type="http://schemas.openxmlformats.org/officeDocument/2006/relationships/hyperlink" Target="https://www.tiktok.com/@atelier_el_jami/video/7639876984771841288" TargetMode="External"/><Relationship Id="rId246" Type="http://schemas.openxmlformats.org/officeDocument/2006/relationships/hyperlink" Target="https://www.tiktok.com/@vfjconstruction/video/7589974535428967692" TargetMode="External"/><Relationship Id="rId247" Type="http://schemas.openxmlformats.org/officeDocument/2006/relationships/hyperlink" Target="https://www.tiktok.com/@glass_systems/video/7631175754889579779" TargetMode="External"/><Relationship Id="rId248" Type="http://schemas.openxmlformats.org/officeDocument/2006/relationships/hyperlink" Target="https://www.tiktok.com/@abderrahim0666177187/video/7666128691373739285" TargetMode="External"/><Relationship Id="rId249" Type="http://schemas.openxmlformats.org/officeDocument/2006/relationships/hyperlink" Target="https://www.tiktok.com/@aljannat_interiors/video/7595120715603463444" TargetMode="External"/><Relationship Id="rId250" Type="http://schemas.openxmlformats.org/officeDocument/2006/relationships/hyperlink" Target="https://www.tiktok.com/@jaouadmachachi/video/6987434011199065350" TargetMode="External"/><Relationship Id="rId251" Type="http://schemas.openxmlformats.org/officeDocument/2006/relationships/hyperlink" Target="https://www.tiktok.com/@aluminium.design.top/video/7569007421671214347" TargetMode="External"/><Relationship Id="rId252" Type="http://schemas.openxmlformats.org/officeDocument/2006/relationships/hyperlink" Target="https://www.tiktok.com/@philipeyeo/video/7370670716632517920" TargetMode="External"/><Relationship Id="rId253" Type="http://schemas.openxmlformats.org/officeDocument/2006/relationships/hyperlink" Target="https://www.tiktok.com/@groupmaisondelux/video/7236135005322333446" TargetMode="External"/><Relationship Id="rId254" Type="http://schemas.openxmlformats.org/officeDocument/2006/relationships/hyperlink" Target="https://www.tiktok.com/@design_elb_alu/video/7099025832982662405" TargetMode="External"/><Relationship Id="rId255" Type="http://schemas.openxmlformats.org/officeDocument/2006/relationships/hyperlink" Target="https://www.tiktok.com/@mo_jabbar_/video/7537454952147422520" TargetMode="External"/><Relationship Id="rId256" Type="http://schemas.openxmlformats.org/officeDocument/2006/relationships/hyperlink" Target="https://www.tiktok.com/@successmanagementafrica/video/7643370699502963989" TargetMode="External"/><Relationship Id="rId257" Type="http://schemas.openxmlformats.org/officeDocument/2006/relationships/hyperlink" Target="https://www.tiktok.com/@aluminooo/video/7614644169205648660" TargetMode="External"/><Relationship Id="rId258" Type="http://schemas.openxmlformats.org/officeDocument/2006/relationships/hyperlink" Target="https://www.tiktok.com/@aluminiumomar/video/7102142757665262854" TargetMode="External"/><Relationship Id="rId259" Type="http://schemas.openxmlformats.org/officeDocument/2006/relationships/hyperlink" Target="https://www.tiktok.com/@rais48alum/video/7573428757013302548" TargetMode="External"/><Relationship Id="rId260" Type="http://schemas.openxmlformats.org/officeDocument/2006/relationships/hyperlink" Target="https://www.tiktok.com/@aluminooo/video/7696671295659969800" TargetMode="External"/><Relationship Id="rId261" Type="http://schemas.openxmlformats.org/officeDocument/2006/relationships/hyperlink" Target="https://www.tiktok.com/@abridalalu/video/7243177486165527813" TargetMode="External"/><Relationship Id="rId262" Type="http://schemas.openxmlformats.org/officeDocument/2006/relationships/hyperlink" Target="https://www.tiktok.com/@rais48alum/video/7570812215645719828" TargetMode="External"/><Relationship Id="rId263" Type="http://schemas.openxmlformats.org/officeDocument/2006/relationships/hyperlink" Target="https://www.tiktok.com/@fabrimartug/video/7610283138920533265" TargetMode="External"/><Relationship Id="rId264" Type="http://schemas.openxmlformats.org/officeDocument/2006/relationships/hyperlink" Target="https://www.tiktok.com/@markglassoffciel/video/7696653918490742036" TargetMode="External"/><Relationship Id="rId265" Type="http://schemas.openxmlformats.org/officeDocument/2006/relationships/hyperlink" Target="https://www.tiktok.com/@benmoussa.alu/video/7670243397512482055" TargetMode="External"/><Relationship Id="rId266" Type="http://schemas.openxmlformats.org/officeDocument/2006/relationships/hyperlink" Target="https://www.tiktok.com/@workandprayalu_/video/7698853143253175558" TargetMode="External"/><Relationship Id="rId267" Type="http://schemas.openxmlformats.org/officeDocument/2006/relationships/hyperlink" Target="https://www.tiktok.com/@kajobaashraf/video/7698334176356879636" TargetMode="External"/><Relationship Id="rId268" Type="http://schemas.openxmlformats.org/officeDocument/2006/relationships/hyperlink" Target="https://www.tiktok.com/@markglassoffciel/video/7696844197629889813" TargetMode="External"/><Relationship Id="rId269" Type="http://schemas.openxmlformats.org/officeDocument/2006/relationships/hyperlink" Target="https://www.tiktok.com/@markglassoffciel/video/7696091261941320980" TargetMode="External"/><Relationship Id="rId270" Type="http://schemas.openxmlformats.org/officeDocument/2006/relationships/hyperlink" Target="https://www.tiktok.com/@balustradealu/video/7668620563627183393" TargetMode="External"/><Relationship Id="rId271" Type="http://schemas.openxmlformats.org/officeDocument/2006/relationships/hyperlink" Target="https://www.tiktok.com/@eradtravaux/video/7461977506778795270" TargetMode="External"/><Relationship Id="rId272" Type="http://schemas.openxmlformats.org/officeDocument/2006/relationships/hyperlink" Target="https://www.tiktok.com/@kawner1/video/7638412419731180820" TargetMode="External"/><Relationship Id="rId273" Type="http://schemas.openxmlformats.org/officeDocument/2006/relationships/hyperlink" Target="https://www.tiktok.com/@zaki.aluminiumpro/video/7497776869987634438" TargetMode="External"/><Relationship Id="rId274" Type="http://schemas.openxmlformats.org/officeDocument/2006/relationships/hyperlink" Target="https://www.tiktok.com/@med.alu/video/7609401279755898133" TargetMode="External"/><Relationship Id="rId275" Type="http://schemas.openxmlformats.org/officeDocument/2006/relationships/hyperlink" Target="https://www.tiktok.com/@latelierduverre/video/7641676199206358293" TargetMode="External"/><Relationship Id="rId276" Type="http://schemas.openxmlformats.org/officeDocument/2006/relationships/hyperlink" Target="https://www.tiktok.com/@m.r.aluminium/video/7667919939243625760" TargetMode="External"/><Relationship Id="rId277" Type="http://schemas.openxmlformats.org/officeDocument/2006/relationships/hyperlink" Target="https://www.tiktok.com/@agentiamo.fenetres/video/7664200641706872096" TargetMode="External"/><Relationship Id="rId278" Type="http://schemas.openxmlformats.org/officeDocument/2006/relationships/hyperlink" Target="https://www.tiktok.com/@lkhadrawiii/video/7696197972534545682" TargetMode="External"/><Relationship Id="rId279" Type="http://schemas.openxmlformats.org/officeDocument/2006/relationships/hyperlink" Target="https://www.tiktok.com/@kajobaashraf/video/7698976671206100245" TargetMode="External"/><Relationship Id="rId280" Type="http://schemas.openxmlformats.org/officeDocument/2006/relationships/hyperlink" Target="https://www.tiktok.com/@markglassoffciel/video/7698142277788503317" TargetMode="External"/><Relationship Id="rId281" Type="http://schemas.openxmlformats.org/officeDocument/2006/relationships/hyperlink" Target="https://www.tiktok.com/@miroiteriepaca/video/7269354445786434849" TargetMode="External"/><Relationship Id="rId282" Type="http://schemas.openxmlformats.org/officeDocument/2006/relationships/hyperlink" Target="https://www.tiktok.com/@alfred_6254/video/7696220771433155862" TargetMode="External"/><Relationship Id="rId283" Type="http://schemas.openxmlformats.org/officeDocument/2006/relationships/hyperlink" Target="https://www.tiktok.com/@agentiamo.fenetres/video/7659428431091731744" TargetMode="External"/><Relationship Id="rId284" Type="http://schemas.openxmlformats.org/officeDocument/2006/relationships/hyperlink" Target="https://www.tiktok.com/@c3s.soprim.sau/video/7646499643680886034" TargetMode="External"/><Relationship Id="rId285" Type="http://schemas.openxmlformats.org/officeDocument/2006/relationships/hyperlink" Target="https://www.tiktok.com/@marlumelt/video/7615384918843002132" TargetMode="External"/><Relationship Id="rId286" Type="http://schemas.openxmlformats.org/officeDocument/2006/relationships/hyperlink" Target="https://www.tiktok.com/@zaki.aluminiumpro/video/7473204393622490423" TargetMode="External"/><Relationship Id="rId287" Type="http://schemas.openxmlformats.org/officeDocument/2006/relationships/hyperlink" Target="https://www.tiktok.com/@soreba68/video/7621271224563354902" TargetMode="External"/><Relationship Id="rId288" Type="http://schemas.openxmlformats.org/officeDocument/2006/relationships/hyperlink" Target="https://www.tiktok.com/@arqfree.constructora/video/7597473891086322965" TargetMode="External"/><Relationship Id="rId289" Type="http://schemas.openxmlformats.org/officeDocument/2006/relationships/hyperlink" Target="https://www.tiktok.com/@najat.dou/video/7667188152544546056" TargetMode="External"/><Relationship Id="rId290" Type="http://schemas.openxmlformats.org/officeDocument/2006/relationships/hyperlink" Target="https://www.tiktok.com/@ora.glass.and.alu/video/7625508559731657991" TargetMode="External"/><Relationship Id="rId291" Type="http://schemas.openxmlformats.org/officeDocument/2006/relationships/hyperlink" Target="https://www.tiktok.com/@groupmaisondelux/video/7244276126569286917" TargetMode="External"/><Relationship Id="rId292" Type="http://schemas.openxmlformats.org/officeDocument/2006/relationships/hyperlink" Target="https://www.tiktok.com/@alugabon/video/7549276688790654214" TargetMode="External"/><Relationship Id="rId293" Type="http://schemas.openxmlformats.org/officeDocument/2006/relationships/hyperlink" Target="https://www.tiktok.com/@elazri.service1/video/7615375482791398663" TargetMode="External"/><Relationship Id="rId294" Type="http://schemas.openxmlformats.org/officeDocument/2006/relationships/hyperlink" Target="https://www.tiktok.com/@golden.hand.aluminium/video/7606095799399058708" TargetMode="External"/><Relationship Id="rId295" Type="http://schemas.openxmlformats.org/officeDocument/2006/relationships/hyperlink" Target="https://www.tiktok.com/@tm_aluminium/video/7666909588154928405" TargetMode="External"/><Relationship Id="rId296" Type="http://schemas.openxmlformats.org/officeDocument/2006/relationships/hyperlink" Target="https://www.tiktok.com/@greenbaie.porte.f/video/7252711317927234842" TargetMode="External"/><Relationship Id="rId297" Type="http://schemas.openxmlformats.org/officeDocument/2006/relationships/hyperlink" Target="https://www.tiktok.com/@zaki.aluminiumpro/video/7495852845179161861" TargetMode="External"/><Relationship Id="rId298" Type="http://schemas.openxmlformats.org/officeDocument/2006/relationships/hyperlink" Target="https://www.tiktok.com/@balustradealu/video/7696917555516067105" TargetMode="External"/><Relationship Id="rId299" Type="http://schemas.openxmlformats.org/officeDocument/2006/relationships/hyperlink" Target="https://www.tiktok.com/@kamelkamel1597/video/7361491865608277281" TargetMode="External"/><Relationship Id="rId300" Type="http://schemas.openxmlformats.org/officeDocument/2006/relationships/hyperlink" Target="https://www.tiktok.com/@aluminiumziyou/video/7697031365933665556" TargetMode="External"/><Relationship Id="rId301" Type="http://schemas.openxmlformats.org/officeDocument/2006/relationships/hyperlink" Target="https://www.tiktok.com/@aluminum_profile_factory/video/7675650420643056927" TargetMode="External"/><Relationship Id="rId302" Type="http://schemas.openxmlformats.org/officeDocument/2006/relationships/hyperlink" Target="https://www.tiktok.com/@hamdja_solution/video/7566307579417070904" TargetMode="External"/><Relationship Id="rId303" Type="http://schemas.openxmlformats.org/officeDocument/2006/relationships/hyperlink" Target="https://www.tiktok.com/@willy_alu_pvc/video/7698129509475798273" TargetMode="External"/><Relationship Id="rId304" Type="http://schemas.openxmlformats.org/officeDocument/2006/relationships/hyperlink" Target="https://www.tiktok.com/@profilagedusud/video/7198224650499935494" TargetMode="External"/><Relationship Id="rId305" Type="http://schemas.openxmlformats.org/officeDocument/2006/relationships/hyperlink" Target="https://www.tiktok.com/@zaki.aluminiumpro/video/7493644905701477638" TargetMode="External"/><Relationship Id="rId306" Type="http://schemas.openxmlformats.org/officeDocument/2006/relationships/hyperlink" Target="https://www.tiktok.com/@rais48alum/video/7483212947876056326" TargetMode="External"/><Relationship Id="rId307" Type="http://schemas.openxmlformats.org/officeDocument/2006/relationships/hyperlink" Target="https://www.tiktok.com/@jimao_aluminum/video/7629923182157303070" TargetMode="External"/><Relationship Id="rId308" Type="http://schemas.openxmlformats.org/officeDocument/2006/relationships/hyperlink" Target="https://www.tiktok.com/@aluminium.prod/video/7534411830643494166" TargetMode="External"/><Relationship Id="rId309" Type="http://schemas.openxmlformats.org/officeDocument/2006/relationships/hyperlink" Target="https://www.tiktok.com/@talaiy292aluminium/video/7698101226092662024" TargetMode="External"/><Relationship Id="rId310" Type="http://schemas.openxmlformats.org/officeDocument/2006/relationships/hyperlink" Target="https://www.tiktok.com/@vitraf.alu85/video/7635388344087727382" TargetMode="External"/><Relationship Id="rId311" Type="http://schemas.openxmlformats.org/officeDocument/2006/relationships/hyperlink" Target="https://www.tiktok.com/@zins.aluminium/video/7582297757529033995" TargetMode="External"/><Relationship Id="rId312" Type="http://schemas.openxmlformats.org/officeDocument/2006/relationships/hyperlink" Target="https://www.tiktok.com/@dalakitmaroc/video/7668382998982577426" TargetMode="External"/><Relationship Id="rId313" Type="http://schemas.openxmlformats.org/officeDocument/2006/relationships/hyperlink" Target="https://www.tiktok.com/@workandprayalu_/video/7696255606482586901" TargetMode="External"/><Relationship Id="rId314" Type="http://schemas.openxmlformats.org/officeDocument/2006/relationships/hyperlink" Target="https://www.tiktok.com/@markglassoffciel/video/7696952034934672646" TargetMode="External"/><Relationship Id="rId315" Type="http://schemas.openxmlformats.org/officeDocument/2006/relationships/hyperlink" Target="https://www.tiktok.com/@aluminumwindows_/video/7697022029513477397" TargetMode="External"/><Relationship Id="rId316" Type="http://schemas.openxmlformats.org/officeDocument/2006/relationships/hyperlink" Target="https://www.tiktok.com/@cassflo.renov/video/7567025379576270102" TargetMode="External"/><Relationship Id="rId317" Type="http://schemas.openxmlformats.org/officeDocument/2006/relationships/hyperlink" Target="https://www.tiktok.com/@aluminooo/video/7628593579178626325" TargetMode="External"/><Relationship Id="rId318" Type="http://schemas.openxmlformats.org/officeDocument/2006/relationships/hyperlink" Target="https://www.tiktok.com/@kajobaashraf/video/7698968323337538836" TargetMode="External"/><Relationship Id="rId319" Type="http://schemas.openxmlformats.org/officeDocument/2006/relationships/hyperlink" Target="https://www.tiktok.com/@bossde20pige/video/7666761807339572512" TargetMode="External"/><Relationship Id="rId320" Type="http://schemas.openxmlformats.org/officeDocument/2006/relationships/hyperlink" Target="https://www.tiktok.com/@jokerduchantier/video/7578620160332909831" TargetMode="External"/><Relationship Id="rId321" Type="http://schemas.openxmlformats.org/officeDocument/2006/relationships/hyperlink" Target="https://www.tiktok.com/@hocine_boutera/video/7603447634988141842" TargetMode="External"/><Relationship Id="rId322" Type="http://schemas.openxmlformats.org/officeDocument/2006/relationships/hyperlink" Target="https://www.tiktok.com/@skymaxmaroc.ma/video/7577801253753867527" TargetMode="External"/><Relationship Id="rId323" Type="http://schemas.openxmlformats.org/officeDocument/2006/relationships/hyperlink" Target="https://www.tiktok.com/@aluminum.youssef8/video/7698854300214103317" TargetMode="External"/><Relationship Id="rId324" Type="http://schemas.openxmlformats.org/officeDocument/2006/relationships/hyperlink" Target="https://www.tiktok.com/@nuhzak.alu/video/7690579514568559890" TargetMode="External"/><Relationship Id="rId325" Type="http://schemas.openxmlformats.org/officeDocument/2006/relationships/hyperlink" Target="https://www.tiktok.com/@sarl_asart_group/video/7611704745140522261" TargetMode="External"/><Relationship Id="rId326" Type="http://schemas.openxmlformats.org/officeDocument/2006/relationships/hyperlink" Target="https://www.tiktok.com/@aluminum.factory.nan/video/7691241820486962440" TargetMode="External"/><Relationship Id="rId327" Type="http://schemas.openxmlformats.org/officeDocument/2006/relationships/hyperlink" Target="https://www.tiktok.com/@zemzemalu/video/7656964287990172949" TargetMode="External"/><Relationship Id="rId328" Type="http://schemas.openxmlformats.org/officeDocument/2006/relationships/hyperlink" Target="https://www.tiktok.com/@skymaxmaroc.ma/video/7621287915640884500" TargetMode="External"/><Relationship Id="rId329" Type="http://schemas.openxmlformats.org/officeDocument/2006/relationships/hyperlink" Target="https://www.tiktok.com/@aluminium.design/video/7374536684614208774" TargetMode="External"/><Relationship Id="rId330" Type="http://schemas.openxmlformats.org/officeDocument/2006/relationships/hyperlink" Target="https://www.tiktok.com/@superdecoplus/video/7516231048783547653" TargetMode="External"/><Relationship Id="rId331" Type="http://schemas.openxmlformats.org/officeDocument/2006/relationships/hyperlink" Target="https://www.tiktok.com/@willy_alu_pvc/video/7696143835910507797" TargetMode="External"/><Relationship Id="rId332" Type="http://schemas.openxmlformats.org/officeDocument/2006/relationships/hyperlink" Target="https://www.tiktok.com/@altavitmaroc/video/7059120526685490433" TargetMode="External"/><Relationship Id="rId333" Type="http://schemas.openxmlformats.org/officeDocument/2006/relationships/hyperlink" Target="https://www.tiktok.com/@foissacfermetures/video/7576614049094307094" TargetMode="External"/><Relationship Id="rId334" Type="http://schemas.openxmlformats.org/officeDocument/2006/relationships/hyperlink" Target="https://www.tiktok.com/@skymaxmaroc.ma/video/7613151549237284114" TargetMode="External"/><Relationship Id="rId335" Type="http://schemas.openxmlformats.org/officeDocument/2006/relationships/hyperlink" Target="https://www.tiktok.com/@markglassoffciel/video/7698337035614047509" TargetMode="External"/><Relationship Id="rId336" Type="http://schemas.openxmlformats.org/officeDocument/2006/relationships/hyperlink" Target="https://www.tiktok.com/@mo7tarif_tpr_algerie/video/7698747914188819733" TargetMode="External"/><Relationship Id="rId337" Type="http://schemas.openxmlformats.org/officeDocument/2006/relationships/hyperlink" Target="https://www.tiktok.com/@nassimtaamourt/video/7697644058310708486" TargetMode="External"/><Relationship Id="rId338" Type="http://schemas.openxmlformats.org/officeDocument/2006/relationships/hyperlink" Target="https://www.tiktok.com/@skymaxmaroc.ma/video/7603331941487725831" TargetMode="External"/><Relationship Id="rId339" Type="http://schemas.openxmlformats.org/officeDocument/2006/relationships/hyperlink" Target="https://www.tiktok.com/@kajobaashraf/video/7698974302858792212" TargetMode="External"/><Relationship Id="rId340" Type="http://schemas.openxmlformats.org/officeDocument/2006/relationships/hyperlink" Target="https://www.tiktok.com/@r__i__d__o__3.0/video/7698428672142806324" TargetMode="External"/><Relationship Id="rId341" Type="http://schemas.openxmlformats.org/officeDocument/2006/relationships/hyperlink" Target="https://www.tiktok.com/@zghaluminium_sg/video/7698655034355027218" TargetMode="External"/><Relationship Id="rId342" Type="http://schemas.openxmlformats.org/officeDocument/2006/relationships/hyperlink" Target="https://www.tiktok.com/@intersolar57/video/7606122391126887683" TargetMode="External"/><Relationship Id="rId343" Type="http://schemas.openxmlformats.org/officeDocument/2006/relationships/hyperlink" Target="https://www.tiktok.com/@imad10430/video/7698418359502654738" TargetMode="External"/><Relationship Id="rId344" Type="http://schemas.openxmlformats.org/officeDocument/2006/relationships/hyperlink" Target="https://www.tiktok.com/@glanium.engineering/video/7699131060633734401" TargetMode="External"/><Relationship Id="rId345" Type="http://schemas.openxmlformats.org/officeDocument/2006/relationships/hyperlink" Target="https://www.tiktok.com/@hicham.el.jaaouan/video/7630447461441670420" TargetMode="External"/><Relationship Id="rId346" Type="http://schemas.openxmlformats.org/officeDocument/2006/relationships/hyperlink" Target="https://www.tiktok.com/@successmanagementafrica/video/7635646009275616532" TargetMode="External"/><Relationship Id="rId347" Type="http://schemas.openxmlformats.org/officeDocument/2006/relationships/hyperlink" Target="https://www.tiktok.com/@couvertinealuminium/video/7624547665119841553" TargetMode="External"/><Relationship Id="rId348" Type="http://schemas.openxmlformats.org/officeDocument/2006/relationships/hyperlink" Target="https://www.tiktok.com/@halisgroupe.offic/video/7627097652462636308" TargetMode="External"/><Relationship Id="rId349" Type="http://schemas.openxmlformats.org/officeDocument/2006/relationships/hyperlink" Target="https://www.tiktok.com/@alugabon/video/7652452048587296017" TargetMode="External"/><Relationship Id="rId350" Type="http://schemas.openxmlformats.org/officeDocument/2006/relationships/hyperlink" Target="https://www.tiktok.com/@design_elb_alu/video/7215238399668604166" TargetMode="External"/><Relationship Id="rId351" Type="http://schemas.openxmlformats.org/officeDocument/2006/relationships/hyperlink" Target="https://www.tiktok.com/@kajobaashraf/video/7698468843357850901" TargetMode="External"/><Relationship Id="rId352" Type="http://schemas.openxmlformats.org/officeDocument/2006/relationships/hyperlink" Target="https://www.tiktok.com/@archiinox/video/7656426084421897480" TargetMode="External"/><Relationship Id="rId353" Type="http://schemas.openxmlformats.org/officeDocument/2006/relationships/hyperlink" Target="https://www.tiktok.com/@mo9tabas/video/7629822868624395541" TargetMode="External"/><Relationship Id="rId354" Type="http://schemas.openxmlformats.org/officeDocument/2006/relationships/hyperlink" Target="https://www.tiktok.com/@ecodom_algerie/video/7646532692724649236" TargetMode="External"/><Relationship Id="rId355" Type="http://schemas.openxmlformats.org/officeDocument/2006/relationships/hyperlink" Target="https://www.tiktok.com/@souhailkassoum/video/7699203104578735367" TargetMode="External"/><Relationship Id="rId356" Type="http://schemas.openxmlformats.org/officeDocument/2006/relationships/hyperlink" Target="https://www.tiktok.com/@aluminium.door.ke/video/7642733170042866951" TargetMode="External"/><Relationship Id="rId357" Type="http://schemas.openxmlformats.org/officeDocument/2006/relationships/hyperlink" Target="https://www.tiktok.com/@max_windoor/video/7679016847320042782" TargetMode="External"/><Relationship Id="rId358" Type="http://schemas.openxmlformats.org/officeDocument/2006/relationships/hyperlink" Target="https://www.tiktok.com/@redouane_lairedj/video/7689183187926322464" TargetMode="External"/><Relationship Id="rId359" Type="http://schemas.openxmlformats.org/officeDocument/2006/relationships/hyperlink" Target="https://www.tiktok.com/@vitraf.alu/video/7634865688972184853" TargetMode="External"/><Relationship Id="rId360" Type="http://schemas.openxmlformats.org/officeDocument/2006/relationships/hyperlink" Target="https://www.tiktok.com/@alugabon/video/7578623714011516216" TargetMode="External"/><Relationship Id="rId361" Type="http://schemas.openxmlformats.org/officeDocument/2006/relationships/hyperlink" Target="https://www.tiktok.com/@boujamadecofacade/video/7597448717196725522" TargetMode="External"/><Relationship Id="rId362" Type="http://schemas.openxmlformats.org/officeDocument/2006/relationships/hyperlink" Target="https://www.tiktok.com/@skymaxmaroc.ma/video/7613532550371249415" TargetMode="External"/><Relationship Id="rId363" Type="http://schemas.openxmlformats.org/officeDocument/2006/relationships/hyperlink" Target="https://www.tiktok.com/@skymaxmaroc.ma/video/7603864734177185042" TargetMode="External"/><Relationship Id="rId364" Type="http://schemas.openxmlformats.org/officeDocument/2006/relationships/hyperlink" Target="https://www.tiktok.com/@alugabon/video/7620558219865312513" TargetMode="External"/><Relationship Id="rId365" Type="http://schemas.openxmlformats.org/officeDocument/2006/relationships/hyperlink" Target="https://www.tiktok.com/@alugabon/video/7600855074989968641" TargetMode="External"/><Relationship Id="rId366" Type="http://schemas.openxmlformats.org/officeDocument/2006/relationships/hyperlink" Target="https://www.tiktok.com/@alminium.walid/video/7697738300798373127" TargetMode="External"/><Relationship Id="rId367" Type="http://schemas.openxmlformats.org/officeDocument/2006/relationships/hyperlink" Target="https://www.tiktok.com/@soufianeyasser455/video/7697254592366562581" TargetMode="External"/><Relationship Id="rId368" Type="http://schemas.openxmlformats.org/officeDocument/2006/relationships/hyperlink" Target="https://www.tiktok.com/@nassimtaamourt/video/7697599925487471878" TargetMode="External"/><Relationship Id="rId369" Type="http://schemas.openxmlformats.org/officeDocument/2006/relationships/hyperlink" Target="https://www.tiktok.com/@68designcreation/video/7648295747573517570" TargetMode="External"/><Relationship Id="rId370" Type="http://schemas.openxmlformats.org/officeDocument/2006/relationships/hyperlink" Target="https://www.tiktok.com/@markglassoffciel/video/7697225580839800065" TargetMode="External"/><Relationship Id="rId371" Type="http://schemas.openxmlformats.org/officeDocument/2006/relationships/hyperlink" Target="https://www.tiktok.com/@alugabon/video/7602751328804179201" TargetMode="External"/><Relationship Id="rId372" Type="http://schemas.openxmlformats.org/officeDocument/2006/relationships/hyperlink" Target="https://www.tiktok.com/@aluminium_marrakech_by_y/video/7183479459167653126" TargetMode="External"/><Relationship Id="rId373" Type="http://schemas.openxmlformats.org/officeDocument/2006/relationships/hyperlink" Target="https://www.tiktok.com/@alu_masterr/video/7661697675934321927" TargetMode="External"/><Relationship Id="rId374" Type="http://schemas.openxmlformats.org/officeDocument/2006/relationships/hyperlink" Target="https://www.tiktok.com/@alugabon/video/7605571201431260417" TargetMode="External"/><Relationship Id="rId375" Type="http://schemas.openxmlformats.org/officeDocument/2006/relationships/hyperlink" Target="https://www.tiktok.com/@nesturaarchitect.id/video/7606637672022510856" TargetMode="External"/><Relationship Id="rId376" Type="http://schemas.openxmlformats.org/officeDocument/2006/relationships/hyperlink" Target="https://www.tiktok.com/@abderrahimrachdi3/video/7656510994885119252" TargetMode="External"/><Relationship Id="rId377" Type="http://schemas.openxmlformats.org/officeDocument/2006/relationships/hyperlink" Target="https://www.tiktok.com/@marchal.fermeture/video/7664646387115576608" TargetMode="External"/><Relationship Id="rId378" Type="http://schemas.openxmlformats.org/officeDocument/2006/relationships/hyperlink" Target="https://www.tiktok.com/@markglassoffciel/video/7697550939586071828" TargetMode="External"/><Relationship Id="rId379" Type="http://schemas.openxmlformats.org/officeDocument/2006/relationships/hyperlink" Target="https://www.tiktok.com/@y.zonephone/video/7697687772584316161" TargetMode="External"/><Relationship Id="rId380" Type="http://schemas.openxmlformats.org/officeDocument/2006/relationships/hyperlink" Target="https://www.tiktok.com/@cheikhou.aluminium/video/7663252608320048417" TargetMode="External"/><Relationship Id="rId381" Type="http://schemas.openxmlformats.org/officeDocument/2006/relationships/hyperlink" Target="https://www.tiktok.com/@confort_aluminium_tlemc1/video/7664678221866126600" TargetMode="External"/><Relationship Id="rId382" Type="http://schemas.openxmlformats.org/officeDocument/2006/relationships/hyperlink" Target="https://www.tiktok.com/@anasakiki/video/7696701853764947220" TargetMode="External"/><Relationship Id="rId383" Type="http://schemas.openxmlformats.org/officeDocument/2006/relationships/hyperlink" Target="https://www.tiktok.com/@medalum31/video/7666823481836752146" TargetMode="External"/><Relationship Id="rId384" Type="http://schemas.openxmlformats.org/officeDocument/2006/relationships/hyperlink" Target="https://www.tiktok.com/@mdoss.ff/video/7629823620826647828" TargetMode="External"/><Relationship Id="rId385" Type="http://schemas.openxmlformats.org/officeDocument/2006/relationships/hyperlink" Target="https://www.tiktok.com/@badrealuminium/video/7697361419959799061" TargetMode="External"/><Relationship Id="rId386" Type="http://schemas.openxmlformats.org/officeDocument/2006/relationships/hyperlink" Target="https://www.tiktok.com/@couvertinealuminium/video/7644950435534589202" TargetMode="External"/><Relationship Id="rId387" Type="http://schemas.openxmlformats.org/officeDocument/2006/relationships/hyperlink" Target="https://www.tiktok.com/@nabil_eljarmouni/video/7610937427103911176" TargetMode="External"/><Relationship Id="rId388" Type="http://schemas.openxmlformats.org/officeDocument/2006/relationships/hyperlink" Target="https://www.tiktok.com/@win871260/video/7628946786320796946" TargetMode="External"/><Relationship Id="rId389" Type="http://schemas.openxmlformats.org/officeDocument/2006/relationships/hyperlink" Target="https://www.tiktok.com/@gunshut.officiel/video/7698363908406512929" TargetMode="External"/><Relationship Id="rId390" Type="http://schemas.openxmlformats.org/officeDocument/2006/relationships/hyperlink" Target="https://www.tiktok.com/@expertalupro/video/7696426122963193120" TargetMode="External"/><Relationship Id="rId391" Type="http://schemas.openxmlformats.org/officeDocument/2006/relationships/hyperlink" Target="https://www.tiktok.com/@superdecoplus/video/7607928165725637896" TargetMode="External"/><Relationship Id="rId392" Type="http://schemas.openxmlformats.org/officeDocument/2006/relationships/hyperlink" Target="https://www.tiktok.com/@alumunium.turki/video/7574812412914715960" TargetMode="External"/><Relationship Id="rId393" Type="http://schemas.openxmlformats.org/officeDocument/2006/relationships/hyperlink" Target="https://www.tiktok.com/@larbutique/video/7618773424575499528" TargetMode="External"/><Relationship Id="rId394" Type="http://schemas.openxmlformats.org/officeDocument/2006/relationships/hyperlink" Target="https://www.tiktok.com/@faisalsabir15/video/7699135414795357448" TargetMode="External"/><Relationship Id="rId395" Type="http://schemas.openxmlformats.org/officeDocument/2006/relationships/hyperlink" Target="https://www.tiktok.com/@bh.glace.inox/video/7696110478963117320" TargetMode="External"/><Relationship Id="rId396" Type="http://schemas.openxmlformats.org/officeDocument/2006/relationships/hyperlink" Target="https://www.tiktok.com/@sbwgroupuk/video/7637102165873397014" TargetMode="External"/><Relationship Id="rId397" Type="http://schemas.openxmlformats.org/officeDocument/2006/relationships/hyperlink" Target="https://www.tiktok.com/@florent61/video/7682880631667215623" TargetMode="External"/><Relationship Id="rId398" Type="http://schemas.openxmlformats.org/officeDocument/2006/relationships/hyperlink" Target="https://www.tiktok.com/@travaux.btiment.m1/video/7695426624401018132" TargetMode="External"/><Relationship Id="rId399" Type="http://schemas.openxmlformats.org/officeDocument/2006/relationships/hyperlink" Target="https://www.tiktok.com/@aluminum_profile_factory/video/7688657535561141534" TargetMode="External"/><Relationship Id="rId400" Type="http://schemas.openxmlformats.org/officeDocument/2006/relationships/hyperlink" Target="https://www.tiktok.com/@yassine.essafi6/video/7697173379069234452" TargetMode="External"/><Relationship Id="rId401" Type="http://schemas.openxmlformats.org/officeDocument/2006/relationships/hyperlink" Target="https://www.tiktok.com/@verre.hafid/video/7697682959675051284" TargetMode="External"/><Relationship Id="rId402" Type="http://schemas.openxmlformats.org/officeDocument/2006/relationships/hyperlink" Target="https://www.tiktok.com/@aluminooo/video/7696938913612582160" TargetMode="External"/><Relationship Id="rId403" Type="http://schemas.openxmlformats.org/officeDocument/2006/relationships/hyperlink" Target="https://www.tiktok.com/@markglassoffciel/video/7698111031024897281" TargetMode="External"/><Relationship Id="rId404" Type="http://schemas.openxmlformats.org/officeDocument/2006/relationships/hyperlink" Target="https://www.tiktok.com/@aluminum_profile_factory/video/7690885723028868383" TargetMode="External"/><Relationship Id="rId405" Type="http://schemas.openxmlformats.org/officeDocument/2006/relationships/hyperlink" Target="https://www.tiktok.com/@markglassoffciel/video/7696902504306543892" TargetMode="External"/><Relationship Id="rId406" Type="http://schemas.openxmlformats.org/officeDocument/2006/relationships/hyperlink" Target="https://www.tiktok.com/@fouad.dahmani3/video/7698488476139834631" TargetMode="External"/><Relationship Id="rId407" Type="http://schemas.openxmlformats.org/officeDocument/2006/relationships/hyperlink" Target="https://www.tiktok.com/@jlchinadoorfactory/video/7698680202737487137" TargetMode="External"/><Relationship Id="rId408" Type="http://schemas.openxmlformats.org/officeDocument/2006/relationships/hyperlink" Target="https://www.tiktok.com/@ecodom_algerie/video/7649467867284442389" TargetMode="External"/><Relationship Id="rId409" Type="http://schemas.openxmlformats.org/officeDocument/2006/relationships/hyperlink" Target="https://www.tiktok.com/@68designcreation/video/7653922674137107745" TargetMode="External"/><Relationship Id="rId410" Type="http://schemas.openxmlformats.org/officeDocument/2006/relationships/hyperlink" Target="https://www.tiktok.com/@johnnyxcally/video/7698115430862376198" TargetMode="External"/><Relationship Id="rId411" Type="http://schemas.openxmlformats.org/officeDocument/2006/relationships/hyperlink" Target="https://www.tiktok.com/@nawaltechnical/video/7698400608579095828" TargetMode="External"/><Relationship Id="rId412" Type="http://schemas.openxmlformats.org/officeDocument/2006/relationships/hyperlink" Target="https://www.tiktok.com/@bhattialuminum0/video/7696925002590932246" TargetMode="External"/><Relationship Id="rId413" Type="http://schemas.openxmlformats.org/officeDocument/2006/relationships/hyperlink" Target="https://www.tiktok.com/@glasshome.dz/video/7698258481421241621" TargetMode="External"/><Relationship Id="rId414" Type="http://schemas.openxmlformats.org/officeDocument/2006/relationships/hyperlink" Target="https://www.tiktok.com/@luminaglassalsace/video/7697742253657165088" TargetMode="External"/><Relationship Id="rId415" Type="http://schemas.openxmlformats.org/officeDocument/2006/relationships/hyperlink" Target="https://www.tiktok.com/@nkunadoors/video/7699058062736379156" TargetMode="External"/><Relationship Id="rId416" Type="http://schemas.openxmlformats.org/officeDocument/2006/relationships/hyperlink" Target="https://www.tiktok.com/@markglassoffciel/video/7698433457751379221" TargetMode="External"/><Relationship Id="rId417" Type="http://schemas.openxmlformats.org/officeDocument/2006/relationships/hyperlink" Target="https://www.tiktok.com/@nawaltechnical/video/7698307998703275284" TargetMode="External"/><Relationship Id="rId418" Type="http://schemas.openxmlformats.org/officeDocument/2006/relationships/hyperlink" Target="https://www.tiktok.com/@markglassoffciel/video/7698115569169599765" TargetMode="External"/><Relationship Id="rId419" Type="http://schemas.openxmlformats.org/officeDocument/2006/relationships/hyperlink" Target="https://www.tiktok.com/@romana.aluminium/video/7615661855729585415" TargetMode="External"/><Relationship Id="rId420" Type="http://schemas.openxmlformats.org/officeDocument/2006/relationships/hyperlink" Target="https://www.tiktok.com/@eurostar.my/video/7698963926129855751" TargetMode="External"/><Relationship Id="rId421" Type="http://schemas.openxmlformats.org/officeDocument/2006/relationships/hyperlink" Target="https://www.tiktok.com/@talaiy292aluminium/video/7699204684157816072" TargetMode="External"/><Relationship Id="rId422" Type="http://schemas.openxmlformats.org/officeDocument/2006/relationships/hyperlink" Target="https://www.tiktok.com/@glanium.engineering/video/7699139703718857985" TargetMode="External"/><Relationship Id="rId423" Type="http://schemas.openxmlformats.org/officeDocument/2006/relationships/hyperlink" Target="https://www.tiktok.com/@primalu.oran/video/7696947701891534087" TargetMode="External"/><Relationship Id="rId424" Type="http://schemas.openxmlformats.org/officeDocument/2006/relationships/hyperlink" Target="https://www.tiktok.com/@glasshome.dz/video/7696770447614020885" TargetMode="External"/><Relationship Id="rId425" Type="http://schemas.openxmlformats.org/officeDocument/2006/relationships/hyperlink" Target="https://www.tiktok.com/@glasshome.dz/video/7698690922501983509" TargetMode="External"/><Relationship Id="rId426" Type="http://schemas.openxmlformats.org/officeDocument/2006/relationships/hyperlink" Target="https://www.tiktok.com/@mouniiiiib.t/video/7696600478955605255" TargetMode="External"/><Relationship Id="rId427" Type="http://schemas.openxmlformats.org/officeDocument/2006/relationships/hyperlink" Target="https://www.tiktok.com/@bauduin.habitat/video/7697341803963387168" TargetMode="External"/><Relationship Id="rId428" Type="http://schemas.openxmlformats.org/officeDocument/2006/relationships/hyperlink" Target="https://www.tiktok.com/@luminaglassalsace/video/7696990748524285217" TargetMode="External"/><Relationship Id="rId429" Type="http://schemas.openxmlformats.org/officeDocument/2006/relationships/hyperlink" Target="https://www.tiktok.com/@h_haa89/video/7699252080803876114" TargetMode="External"/><Relationship Id="rId430" Type="http://schemas.openxmlformats.org/officeDocument/2006/relationships/hyperlink" Target="https://www.tiktok.com/@user00049652/video/7699094805812366613" TargetMode="External"/><Relationship Id="rId431" Type="http://schemas.openxmlformats.org/officeDocument/2006/relationships/hyperlink" Target="https://www.tiktok.com/@lamzoalu/video/7697741557448969492" TargetMode="External"/><Relationship Id="rId432" Type="http://schemas.openxmlformats.org/officeDocument/2006/relationships/hyperlink" Target="https://www.tiktok.com/@aluminooo/video/7699258089265958162" TargetMode="External"/><Relationship Id="rId433" Type="http://schemas.openxmlformats.org/officeDocument/2006/relationships/hyperlink" Target="https://www.tiktok.com/@ela.glass/video/7696645769587215636" TargetMode="External"/><Relationship Id="rId434" Type="http://schemas.openxmlformats.org/officeDocument/2006/relationships/hyperlink" Target="https://www.tiktok.com/@quincaillerie.de.luxe/video/7699137522961845524" TargetMode="External"/><Relationship Id="rId435" Type="http://schemas.openxmlformats.org/officeDocument/2006/relationships/hyperlink" Target="https://www.tiktok.com/@bejart54/video/7698986639619640582" TargetMode="External"/><Relationship Id="rId436" Type="http://schemas.openxmlformats.org/officeDocument/2006/relationships/hyperlink" Target="https://www.tiktok.com/@couvertinealuminium/video/7698439214345587969" TargetMode="External"/><Relationship Id="rId437" Type="http://schemas.openxmlformats.org/officeDocument/2006/relationships/hyperlink" Target="https://www.tiktok.com/@luminaglassalsace/video/7699078913741294880" TargetMode="External"/><Relationship Id="rId438" Type="http://schemas.openxmlformats.org/officeDocument/2006/relationships/hyperlink" Target="https://www.tiktok.com/@avenirdelamenuiserie/video/7698799642527403296" TargetMode="External"/><Relationship Id="rId439" Type="http://schemas.openxmlformats.org/officeDocument/2006/relationships/hyperlink" Target="https://www.tiktok.com/@babadee_aluminiummagic/video/7699180963628141845" TargetMode="External"/><Relationship Id="rId440" Type="http://schemas.openxmlformats.org/officeDocument/2006/relationships/hyperlink" Target="https://www.tiktok.com/@markglassoffciel/video/7698694743986932998" TargetMode="External"/><Relationship Id="rId441" Type="http://schemas.openxmlformats.org/officeDocument/2006/relationships/hyperlink" Target="https://www.tiktok.com/@ireolaganiyou/video/7698436170144861460" TargetMode="External"/><Relationship Id="rId442" Type="http://schemas.openxmlformats.org/officeDocument/2006/relationships/hyperlink" Target="https://www.tiktok.com/@hsbwindowsdoorsltd/video/7699177648597011734" TargetMode="External"/><Relationship Id="rId443" Type="http://schemas.openxmlformats.org/officeDocument/2006/relationships/hyperlink" Target="https://www.tiktok.com/@ireolaganiyou/video/7698435301584391444" TargetMode="External"/><Relationship Id="rId444" Type="http://schemas.openxmlformats.org/officeDocument/2006/relationships/hyperlink" Target="https://www.tiktok.com/@mazeem8080gmail/video/7698828908778523911" TargetMode="External"/><Relationship Id="rId445" Type="http://schemas.openxmlformats.org/officeDocument/2006/relationships/hyperlink" Target="https://www.tiktok.com/@aluminium.fire.sy/video/7698999478316977441" TargetMode="External"/><Relationship Id="rId446" Type="http://schemas.openxmlformats.org/officeDocument/2006/relationships/hyperlink" Target="https://www.tiktok.com/@lux.seal/video/7698671329641237774" TargetMode="External"/><Relationship Id="rId447" Type="http://schemas.openxmlformats.org/officeDocument/2006/relationships/hyperlink" Target="https://www.tiktok.com/@luminaglassalsace/video/7697277210087951649" TargetMode="External"/><Relationship Id="rId448" Type="http://schemas.openxmlformats.org/officeDocument/2006/relationships/hyperlink" Target="https://www.tiktok.com/@sjts.gill/video/7699186750119284000" TargetMode="External"/><Relationship Id="rId449" Type="http://schemas.openxmlformats.org/officeDocument/2006/relationships/hyperlink" Target="https://www.tiktok.com/@rsupvc.windors/video/7694594237488319751" TargetMode="External"/><Relationship Id="rId450" Type="http://schemas.openxmlformats.org/officeDocument/2006/relationships/hyperlink" Target="https://www.tiktok.com/@victoria4abm/video/7693189497697160478" TargetMode="External"/><Relationship Id="rId451" Type="http://schemas.openxmlformats.org/officeDocument/2006/relationships/hyperlink" Target="https://www.tiktok.com/@huajianaluminumgroup/video/7696445657657249054" TargetMode="External"/><Relationship Id="rId452" Type="http://schemas.openxmlformats.org/officeDocument/2006/relationships/hyperlink" Target="https://www.tiktok.com/@huayingmetal/video/7699083192317283591" TargetMode="External"/><Relationship Id="rId453" Type="http://schemas.openxmlformats.org/officeDocument/2006/relationships/hyperlink" Target="https://www.tiktok.com/@huajianaluminumprofile/video/7688294046879583502" TargetMode="External"/><Relationship Id="rId454" Type="http://schemas.openxmlformats.org/officeDocument/2006/relationships/hyperlink" Target="https://www.tiktok.com/@huajianaluminumprofile/video/7663062805842496782" TargetMode="External"/><Relationship Id="rId455" Type="http://schemas.openxmlformats.org/officeDocument/2006/relationships/hyperlink" Target="https://www.tiktok.com/@junhe2889/video/7698965495994731794" TargetMode="External"/><Relationship Id="rId456" Type="http://schemas.openxmlformats.org/officeDocument/2006/relationships/hyperlink" Target="https://www.tiktok.com/@huajianaluminumprofile/video/7668623019035675917" TargetMode="External"/><Relationship Id="rId457" Type="http://schemas.openxmlformats.org/officeDocument/2006/relationships/hyperlink" Target="https://www.tiktok.com/@backbednarczyk2655/video/7698634567216860437" TargetMode="External"/><Relationship Id="rId458" Type="http://schemas.openxmlformats.org/officeDocument/2006/relationships/hyperlink" Target="https://www.tiktok.com/@jl.chinesealuminum/video/7698680244428983558" TargetMode="External"/><Relationship Id="rId459" Type="http://schemas.openxmlformats.org/officeDocument/2006/relationships/hyperlink" Target="https://www.tiktok.com/@industrialaluminumprofil/video/7698253789488270623" TargetMode="External"/><Relationship Id="rId460" Type="http://schemas.openxmlformats.org/officeDocument/2006/relationships/hyperlink" Target="https://www.tiktok.com/@huajianaluminumprofile/video/7698221242054151437" TargetMode="External"/><Relationship Id="rId461" Type="http://schemas.openxmlformats.org/officeDocument/2006/relationships/hyperlink" Target="https://www.tiktok.com/@zoexu6/video/7698887861222837534" TargetMode="External"/><Relationship Id="rId462" Type="http://schemas.openxmlformats.org/officeDocument/2006/relationships/hyperlink" Target="https://www.tiktok.com/@meiduoyubuildingm/video/7699130870627699986" TargetMode="External"/><Relationship Id="rId463" Type="http://schemas.openxmlformats.org/officeDocument/2006/relationships/hyperlink" Target="https://www.tiktok.com/@industrialaluminumprofil/video/7698670023111363871" TargetMode="External"/><Relationship Id="rId464" Type="http://schemas.openxmlformats.org/officeDocument/2006/relationships/hyperlink" Target="https://www.tiktok.com/@industrialaluminumprofil/video/7698260813865405726" TargetMode="External"/><Relationship Id="rId465" Type="http://schemas.openxmlformats.org/officeDocument/2006/relationships/hyperlink" Target="https://www.tiktok.com/@huajianaluminumgroup/video/7697557280656461086" TargetMode="External"/><Relationship Id="rId466" Type="http://schemas.openxmlformats.org/officeDocument/2006/relationships/hyperlink" Target="https://www.tiktok.com/@chrisvandijkoffic/video/7699222421689257234" TargetMode="External"/><Relationship Id="rId467" Type="http://schemas.openxmlformats.org/officeDocument/2006/relationships/hyperlink" Target="https://www.tiktok.com/@aprodoor/video/7647478203400949006" TargetMode="External"/><Relationship Id="rId468" Type="http://schemas.openxmlformats.org/officeDocument/2006/relationships/hyperlink" Target="https://www.tiktok.com/@huajianaluminumprofile/video/7698243919993195790" TargetMode="External"/><Relationship Id="rId469" Type="http://schemas.openxmlformats.org/officeDocument/2006/relationships/hyperlink" Target="https://www.tiktok.com/@huajianaluminumprofile/video/7698249870645153037" TargetMode="External"/><Relationship Id="rId470" Type="http://schemas.openxmlformats.org/officeDocument/2006/relationships/hyperlink" Target="https://www.tiktok.com/@chan123121/video/7699279360137923860" TargetMode="External"/><Relationship Id="rId471" Type="http://schemas.openxmlformats.org/officeDocument/2006/relationships/hyperlink" Target="https://www.tiktok.com/@wkjdoorswindows/video/7698584019608358157" TargetMode="External"/><Relationship Id="rId472" Type="http://schemas.openxmlformats.org/officeDocument/2006/relationships/hyperlink" Target="https://www.tiktok.com/@kehao_jensen/video/7693493104346664222" TargetMode="External"/><Relationship Id="rId473" Type="http://schemas.openxmlformats.org/officeDocument/2006/relationships/hyperlink" Target="https://www.tiktok.com/@sohome.window_door.vicky/video/7699055890988535060" TargetMode="External"/><Relationship Id="rId474" Type="http://schemas.openxmlformats.org/officeDocument/2006/relationships/hyperlink" Target="https://www.tiktok.com/@xinhe.aluminium/video/7699053235541183750" TargetMode="External"/><Relationship Id="rId475" Type="http://schemas.openxmlformats.org/officeDocument/2006/relationships/hyperlink" Target="https://www.tiktok.com/@nuonuo.jiang4/video/7699073172993346834" TargetMode="External"/><Relationship Id="rId476" Type="http://schemas.openxmlformats.org/officeDocument/2006/relationships/hyperlink" Target="https://www.tiktok.com/@aluminum.profile8/video/7689639225494457631" TargetMode="External"/><Relationship Id="rId477" Type="http://schemas.openxmlformats.org/officeDocument/2006/relationships/hyperlink" Target="https://www.tiktok.com/@beckyniuu/video/7686293684010142989" TargetMode="External"/><Relationship Id="rId478" Type="http://schemas.openxmlformats.org/officeDocument/2006/relationships/hyperlink" Target="https://www.tiktok.com/@jl.chinesealuminum/video/7698679947833150741" TargetMode="External"/><Relationship Id="rId479" Type="http://schemas.openxmlformats.org/officeDocument/2006/relationships/hyperlink" Target="https://www.tiktok.com/@yooan.doorwindow/video/7698629297833020693" TargetMode="External"/><Relationship Id="rId480"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B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5"/>
  </cols>
  <sheetData>
    <row r="1" customFormat="false" ht="24"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row>
    <row r="5" customFormat="false" ht="15" hidden="false" customHeight="false" outlineLevel="0" collapsed="false">
      <c r="A5" s="4" t="s">
        <v>3</v>
      </c>
      <c r="B5" s="4" t="s">
        <v>4</v>
      </c>
    </row>
    <row r="6" customFormat="false" ht="15" hidden="false" customHeight="false" outlineLevel="0" collapsed="false">
      <c r="A6" s="5" t="str">
        <f aca="false">HYPERLINK("#'Niche &amp; Strategy'!A1","Niche &amp; Strategy")</f>
        <v>Niche &amp; Strategy</v>
      </c>
      <c r="B6" s="6" t="s">
        <v>5</v>
      </c>
    </row>
    <row r="7" customFormat="false" ht="15" hidden="false" customHeight="false" outlineLevel="0" collapsed="false">
      <c r="A7" s="5" t="str">
        <f aca="false">HYPERLINK("#'My TikTok Videos'!A1","My TikTok Videos")</f>
        <v>My TikTok Videos</v>
      </c>
      <c r="B7" s="6" t="s">
        <v>6</v>
      </c>
    </row>
    <row r="8" customFormat="false" ht="15" hidden="false" customHeight="false" outlineLevel="0" collapsed="false">
      <c r="A8" s="5" t="str">
        <f aca="false">HYPERLINK("#'Niche Patterns'!A1","Niche Patterns")</f>
        <v>Niche Patterns</v>
      </c>
      <c r="B8" s="6" t="s">
        <v>7</v>
      </c>
    </row>
    <row r="9" customFormat="false" ht="15" hidden="false" customHeight="false" outlineLevel="0" collapsed="false">
      <c r="A9" s="5" t="str">
        <f aca="false">HYPERLINK("#'Competitors'!A1","Competitors")</f>
        <v>Competitors</v>
      </c>
      <c r="B9" s="6" t="s">
        <v>8</v>
      </c>
    </row>
    <row r="10" customFormat="false" ht="15" hidden="false" customHeight="false" outlineLevel="0" collapsed="false">
      <c r="A10" s="5" t="str">
        <f aca="false">HYPERLINK("#'20 Ideas'!A1","20 Ideas")</f>
        <v>20 Ideas</v>
      </c>
      <c r="B10" s="6" t="s">
        <v>9</v>
      </c>
    </row>
    <row r="11" customFormat="false" ht="15" hidden="false" customHeight="false" outlineLevel="0" collapsed="false">
      <c r="A11" s="5" t="str">
        <f aca="false">HYPERLINK("#'Briefs'!A1","Briefs")</f>
        <v>Briefs</v>
      </c>
      <c r="B11" s="6" t="s">
        <v>10</v>
      </c>
    </row>
    <row r="12" customFormat="false" ht="15" hidden="false" customHeight="false" outlineLevel="0" collapsed="false">
      <c r="A12" s="5" t="str">
        <f aca="false">HYPERLINK("#'Shot Lists'!A1","Shot Lists")</f>
        <v>Shot Lists</v>
      </c>
      <c r="B12" s="6" t="s">
        <v>11</v>
      </c>
    </row>
    <row r="13" customFormat="false" ht="15" hidden="false" customHeight="false" outlineLevel="0" collapsed="false">
      <c r="A13" s="5" t="str">
        <f aca="false">HYPERLINK("#'Strategy Ideas (25)'!A1","Strategy Ideas (25)")</f>
        <v>Strategy Ideas (25)</v>
      </c>
      <c r="B13" s="6" t="s">
        <v>12</v>
      </c>
    </row>
    <row r="14" customFormat="false" ht="15" hidden="false" customHeight="false" outlineLevel="0" collapsed="false">
      <c r="A14" s="5" t="str">
        <f aca="false">HYPERLINK("#'Calendar'!A1","Calendar")</f>
        <v>Calendar</v>
      </c>
      <c r="B14" s="6" t="s">
        <v>13</v>
      </c>
    </row>
    <row r="15" customFormat="false" ht="15" hidden="false" customHeight="false" outlineLevel="0" collapsed="false">
      <c r="A15" s="5" t="str">
        <f aca="false">HYPERLINK("#'30-Day Plan'!A1","30-Day Plan")</f>
        <v>30-Day Plan</v>
      </c>
      <c r="B15" s="6" t="s">
        <v>14</v>
      </c>
    </row>
    <row r="16" customFormat="false" ht="15" hidden="false" customHeight="false" outlineLevel="0" collapsed="false">
      <c r="A16" s="5" t="str">
        <f aca="false">HYPERLINK("#'Results Tracker'!A1","Results Tracker")</f>
        <v>Results Tracker</v>
      </c>
      <c r="B16" s="6" t="s">
        <v>15</v>
      </c>
    </row>
    <row r="17" customFormat="false" ht="15" hidden="false" customHeight="false" outlineLevel="0" collapsed="false">
      <c r="A17" s="5" t="str">
        <f aca="false">HYPERLINK("#'Rules &amp; Checklists'!A1","Rules &amp; Checklists")</f>
        <v>Rules &amp; Checklists</v>
      </c>
      <c r="B17" s="6" t="s">
        <v>16</v>
      </c>
    </row>
    <row r="18" customFormat="false" ht="15" hidden="false" customHeight="false" outlineLevel="0" collapsed="false">
      <c r="A18" s="5" t="str">
        <f aca="false">HYPERLINK("#'Study List'!A1","Study List")</f>
        <v>Study List</v>
      </c>
      <c r="B18" s="6" t="s">
        <v>17</v>
      </c>
    </row>
    <row r="19" customFormat="false" ht="15" hidden="false" customHeight="false" outlineLevel="0" collapsed="false">
      <c r="A19" s="5" t="str">
        <f aca="false">HYPERLINK("#'Niche Videos'!A1","Niche Videos")</f>
        <v>Niche Videos</v>
      </c>
      <c r="B19" s="6" t="s">
        <v>18</v>
      </c>
    </row>
    <row r="20" customFormat="false" ht="15" hidden="false" customHeight="false" outlineLevel="0" collapsed="false">
      <c r="A20" s="5" t="str">
        <f aca="false">HYPERLINK("#'Data Notes'!A1","Data Notes")</f>
        <v>Data Notes</v>
      </c>
      <c r="B20" s="6" t="s">
        <v>19</v>
      </c>
    </row>
    <row r="22" customFormat="false" ht="15" hidden="false" customHeight="false" outlineLevel="0" collapsed="false">
      <c r="A22" s="3" t="s">
        <v>20</v>
      </c>
      <c r="B22" s="3"/>
    </row>
    <row r="23" customFormat="false" ht="15" hidden="false" customHeight="false" outlineLevel="0" collapsed="false">
      <c r="A23" s="7" t="s">
        <v>21</v>
      </c>
      <c r="B23" s="8" t="s">
        <v>22</v>
      </c>
    </row>
    <row r="24" customFormat="false" ht="15" hidden="false" customHeight="false" outlineLevel="0" collapsed="false">
      <c r="A24" s="8" t="s">
        <v>23</v>
      </c>
      <c r="B24" s="8" t="s">
        <v>24</v>
      </c>
    </row>
    <row r="25" customFormat="false" ht="15" hidden="false" customHeight="false" outlineLevel="0" collapsed="false">
      <c r="A25" s="9" t="s">
        <v>25</v>
      </c>
      <c r="B25" s="8" t="s">
        <v>26</v>
      </c>
    </row>
    <row r="26" customFormat="false" ht="15" hidden="false" customHeight="false" outlineLevel="0" collapsed="false">
      <c r="A26" s="8" t="s">
        <v>27</v>
      </c>
      <c r="B26" s="8" t="s">
        <v>28</v>
      </c>
    </row>
    <row r="28" customFormat="false" ht="23.85" hidden="false" customHeight="false" outlineLevel="0" collapsed="false">
      <c r="A28" s="10" t="s">
        <v>29</v>
      </c>
      <c r="B28" s="8" t="s">
        <v>30</v>
      </c>
    </row>
    <row r="29" customFormat="false" ht="15" hidden="false" customHeight="false" outlineLevel="0" collapsed="false">
      <c r="A29" s="10" t="s">
        <v>31</v>
      </c>
      <c r="B29" s="8" t="s">
        <v>32</v>
      </c>
    </row>
    <row r="31" customFormat="false" ht="15" hidden="false" customHeight="false" outlineLevel="0" collapsed="false">
      <c r="A31" s="3" t="s">
        <v>33</v>
      </c>
      <c r="B31" s="3"/>
    </row>
    <row r="32" customFormat="false" ht="46.25" hidden="false" customHeight="false" outlineLevel="0" collapsed="false">
      <c r="A32" s="8" t="s">
        <v>34</v>
      </c>
      <c r="B32" s="8" t="s">
        <v>35</v>
      </c>
    </row>
    <row r="33" customFormat="false" ht="35.05" hidden="false" customHeight="false" outlineLevel="0" collapsed="false">
      <c r="A33" s="8" t="s">
        <v>36</v>
      </c>
      <c r="B33" s="8" t="s">
        <v>37</v>
      </c>
    </row>
    <row r="35" customFormat="false" ht="15" hidden="false" customHeight="false" outlineLevel="0" collapsed="false">
      <c r="A35" s="3" t="s">
        <v>38</v>
      </c>
      <c r="B35" s="3"/>
    </row>
    <row r="36" customFormat="false" ht="15" hidden="false" customHeight="false" outlineLevel="0" collapsed="false">
      <c r="A36" s="10" t="s">
        <v>39</v>
      </c>
      <c r="B36" s="8" t="s">
        <v>40</v>
      </c>
    </row>
    <row r="37" customFormat="false" ht="15" hidden="false" customHeight="false" outlineLevel="0" collapsed="false">
      <c r="A37" s="10" t="s">
        <v>41</v>
      </c>
      <c r="B37" s="8" t="s">
        <v>42</v>
      </c>
    </row>
    <row r="38" customFormat="false" ht="15" hidden="false" customHeight="false" outlineLevel="0" collapsed="false">
      <c r="A38" s="10" t="s">
        <v>43</v>
      </c>
      <c r="B38" s="8" t="s">
        <v>44</v>
      </c>
    </row>
    <row r="39" customFormat="false" ht="15" hidden="false" customHeight="false" outlineLevel="0" collapsed="false">
      <c r="A39" s="10" t="s">
        <v>45</v>
      </c>
      <c r="B39" s="8" t="s">
        <v>46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55"/>
    <col collapsed="false" customWidth="true" hidden="false" outlineLevel="0" max="4" min="4" style="0" width="40"/>
  </cols>
  <sheetData>
    <row r="1" customFormat="false" ht="24" hidden="false" customHeight="true" outlineLevel="0" collapsed="false">
      <c r="A1" s="1" t="s">
        <v>47</v>
      </c>
    </row>
    <row r="2" customFormat="false" ht="15" hidden="false" customHeight="false" outlineLevel="0" collapsed="false">
      <c r="A2" s="2" t="s">
        <v>48</v>
      </c>
    </row>
    <row r="4" customFormat="false" ht="15" hidden="false" customHeight="false" outlineLevel="0" collapsed="false">
      <c r="A4" s="3" t="s">
        <v>49</v>
      </c>
      <c r="B4" s="3"/>
      <c r="C4" s="3"/>
      <c r="D4" s="3"/>
    </row>
    <row r="5" customFormat="false" ht="15" hidden="false" customHeight="false" outlineLevel="0" collapsed="false">
      <c r="A5" s="4" t="s">
        <v>50</v>
      </c>
      <c r="B5" s="4" t="s">
        <v>51</v>
      </c>
      <c r="C5" s="4" t="s">
        <v>52</v>
      </c>
    </row>
    <row r="6" customFormat="false" ht="15" hidden="false" customHeight="false" outlineLevel="0" collapsed="false">
      <c r="A6" s="6" t="s">
        <v>53</v>
      </c>
      <c r="B6" s="6" t="s">
        <v>54</v>
      </c>
      <c r="C6" s="6" t="s">
        <v>55</v>
      </c>
    </row>
    <row r="7" customFormat="false" ht="23.85" hidden="false" customHeight="false" outlineLevel="0" collapsed="false">
      <c r="A7" s="6" t="s">
        <v>56</v>
      </c>
      <c r="B7" s="6" t="s">
        <v>57</v>
      </c>
      <c r="C7" s="6" t="s">
        <v>58</v>
      </c>
    </row>
    <row r="8" customFormat="false" ht="35.05" hidden="false" customHeight="false" outlineLevel="0" collapsed="false">
      <c r="A8" s="6" t="s">
        <v>59</v>
      </c>
      <c r="B8" s="6" t="s">
        <v>60</v>
      </c>
      <c r="C8" s="6" t="s">
        <v>61</v>
      </c>
    </row>
    <row r="9" customFormat="false" ht="23.85" hidden="false" customHeight="false" outlineLevel="0" collapsed="false">
      <c r="A9" s="6" t="s">
        <v>62</v>
      </c>
      <c r="B9" s="6" t="s">
        <v>63</v>
      </c>
      <c r="C9" s="6" t="s">
        <v>64</v>
      </c>
    </row>
    <row r="11" customFormat="false" ht="15" hidden="false" customHeight="false" outlineLevel="0" collapsed="false">
      <c r="B11" s="8" t="s">
        <v>65</v>
      </c>
    </row>
    <row r="13" customFormat="false" ht="15" hidden="false" customHeight="false" outlineLevel="0" collapsed="false">
      <c r="A13" s="3" t="s">
        <v>66</v>
      </c>
      <c r="B13" s="3"/>
      <c r="C13" s="3"/>
      <c r="D13" s="3"/>
    </row>
    <row r="14" customFormat="false" ht="23.85" hidden="false" customHeight="false" outlineLevel="0" collapsed="false">
      <c r="B14" s="8" t="s">
        <v>67</v>
      </c>
    </row>
    <row r="15" customFormat="false" ht="35.05" hidden="false" customHeight="false" outlineLevel="0" collapsed="false">
      <c r="B15" s="8" t="s">
        <v>68</v>
      </c>
    </row>
    <row r="16" customFormat="false" ht="35.05" hidden="false" customHeight="false" outlineLevel="0" collapsed="false">
      <c r="B16" s="8" t="s">
        <v>69</v>
      </c>
    </row>
    <row r="17" customFormat="false" ht="15" hidden="false" customHeight="false" outlineLevel="0" collapsed="false">
      <c r="B17" s="8" t="s">
        <v>70</v>
      </c>
    </row>
    <row r="18" customFormat="false" ht="35.05" hidden="false" customHeight="false" outlineLevel="0" collapsed="false">
      <c r="B18" s="8" t="s">
        <v>71</v>
      </c>
    </row>
    <row r="19" customFormat="false" ht="23.85" hidden="false" customHeight="false" outlineLevel="0" collapsed="false">
      <c r="B19" s="8" t="s">
        <v>72</v>
      </c>
    </row>
    <row r="20" customFormat="false" ht="15" hidden="false" customHeight="false" outlineLevel="0" collapsed="false">
      <c r="B20" s="8" t="s">
        <v>73</v>
      </c>
    </row>
    <row r="21" customFormat="false" ht="23.85" hidden="false" customHeight="false" outlineLevel="0" collapsed="false">
      <c r="B21" s="8" t="s">
        <v>74</v>
      </c>
    </row>
    <row r="22" customFormat="false" ht="23.85" hidden="false" customHeight="false" outlineLevel="0" collapsed="false">
      <c r="B22" s="8" t="s">
        <v>75</v>
      </c>
    </row>
    <row r="23" customFormat="false" ht="35.05" hidden="false" customHeight="false" outlineLevel="0" collapsed="false">
      <c r="B23" s="8" t="s">
        <v>76</v>
      </c>
    </row>
    <row r="25" customFormat="false" ht="15" hidden="false" customHeight="false" outlineLevel="0" collapsed="false">
      <c r="A25" s="3" t="s">
        <v>77</v>
      </c>
      <c r="B25" s="3"/>
      <c r="C25" s="3"/>
      <c r="D25" s="3"/>
    </row>
    <row r="26" customFormat="false" ht="57.45" hidden="false" customHeight="false" outlineLevel="0" collapsed="false">
      <c r="B26" s="8" t="s">
        <v>78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P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1"/>
    <col collapsed="false" customWidth="true" hidden="false" outlineLevel="0" max="4" min="4" style="0" width="42"/>
    <col collapsed="false" customWidth="true" hidden="false" outlineLevel="0" max="5" min="5" style="0" width="10"/>
    <col collapsed="false" customWidth="true" hidden="false" outlineLevel="0" max="6" min="6" style="0" width="9"/>
    <col collapsed="false" customWidth="true" hidden="false" outlineLevel="0" max="7" min="7" style="0" width="10"/>
    <col collapsed="false" customWidth="true" hidden="false" outlineLevel="0" max="10" min="8" style="0" width="9"/>
    <col collapsed="false" customWidth="true" hidden="false" outlineLevel="0" max="13" min="11" style="0" width="10"/>
    <col collapsed="false" customWidth="true" hidden="false" outlineLevel="0" max="14" min="14" style="0" width="60"/>
    <col collapsed="false" customWidth="true" hidden="false" outlineLevel="0" max="15" min="15" style="0" width="28"/>
    <col collapsed="false" customWidth="true" hidden="false" outlineLevel="0" max="16" min="16" style="0" width="44"/>
  </cols>
  <sheetData>
    <row r="1" customFormat="false" ht="24" hidden="false" customHeight="true" outlineLevel="0" collapsed="false">
      <c r="A1" s="1" t="s">
        <v>79</v>
      </c>
    </row>
    <row r="2" customFormat="false" ht="15" hidden="false" customHeight="false" outlineLevel="0" collapsed="false">
      <c r="A2" s="2" t="s">
        <v>80</v>
      </c>
    </row>
    <row r="4" customFormat="false" ht="23.85" hidden="false" customHeight="false" outlineLevel="0" collapsed="false">
      <c r="A4" s="4" t="s">
        <v>81</v>
      </c>
      <c r="B4" s="4" t="s">
        <v>82</v>
      </c>
      <c r="C4" s="4" t="s">
        <v>83</v>
      </c>
      <c r="D4" s="4" t="s">
        <v>84</v>
      </c>
      <c r="E4" s="4" t="s">
        <v>85</v>
      </c>
      <c r="F4" s="4" t="s">
        <v>86</v>
      </c>
      <c r="G4" s="4" t="s">
        <v>87</v>
      </c>
      <c r="H4" s="4" t="s">
        <v>88</v>
      </c>
      <c r="I4" s="4" t="s">
        <v>89</v>
      </c>
      <c r="J4" s="4" t="s">
        <v>90</v>
      </c>
      <c r="K4" s="4" t="s">
        <v>91</v>
      </c>
      <c r="L4" s="4" t="s">
        <v>92</v>
      </c>
      <c r="M4" s="4" t="s">
        <v>93</v>
      </c>
      <c r="N4" s="4" t="s">
        <v>94</v>
      </c>
      <c r="O4" s="4" t="s">
        <v>95</v>
      </c>
      <c r="P4" s="4" t="s">
        <v>96</v>
      </c>
    </row>
    <row r="5" customFormat="false" ht="23.85" hidden="false" customHeight="false" outlineLevel="0" collapsed="false">
      <c r="A5" s="6" t="s">
        <v>97</v>
      </c>
      <c r="B5" s="11" t="n">
        <v>46146</v>
      </c>
      <c r="C5" s="6" t="s">
        <v>98</v>
      </c>
      <c r="D5" s="6" t="s">
        <v>99</v>
      </c>
      <c r="E5" s="12" t="n">
        <v>2732</v>
      </c>
      <c r="F5" s="12" t="n">
        <v>38</v>
      </c>
      <c r="G5" s="12" t="n">
        <v>2</v>
      </c>
      <c r="H5" s="12" t="n">
        <v>25</v>
      </c>
      <c r="I5" s="12" t="n">
        <v>7</v>
      </c>
      <c r="J5" s="13" t="n">
        <v>41</v>
      </c>
      <c r="K5" s="14" t="n">
        <f aca="false">IFERROR(F5/E5,0)</f>
        <v>0.013909224011713</v>
      </c>
      <c r="L5" s="15" t="n">
        <f aca="false">IFERROR(H5/E5,0)</f>
        <v>0.00915080527086384</v>
      </c>
      <c r="M5" s="15" t="n">
        <f aca="false">IFERROR(I5/E5,0)</f>
        <v>0.00256222547584187</v>
      </c>
      <c r="N5" s="6" t="s">
        <v>100</v>
      </c>
      <c r="O5" s="6" t="s">
        <v>101</v>
      </c>
      <c r="P5" s="6" t="s">
        <v>102</v>
      </c>
    </row>
    <row r="6" customFormat="false" ht="15" hidden="false" customHeight="false" outlineLevel="0" collapsed="false">
      <c r="A6" s="6" t="s">
        <v>103</v>
      </c>
      <c r="B6" s="11" t="n">
        <v>46204</v>
      </c>
      <c r="C6" s="6" t="s">
        <v>98</v>
      </c>
      <c r="D6" s="6" t="s">
        <v>104</v>
      </c>
      <c r="E6" s="12" t="n">
        <v>2135</v>
      </c>
      <c r="F6" s="12" t="n">
        <v>44</v>
      </c>
      <c r="G6" s="12" t="n">
        <v>4</v>
      </c>
      <c r="H6" s="12" t="n">
        <v>11</v>
      </c>
      <c r="I6" s="12" t="n">
        <v>11</v>
      </c>
      <c r="J6" s="13" t="n">
        <v>84</v>
      </c>
      <c r="K6" s="14" t="n">
        <f aca="false">IFERROR(F6/E6,0)</f>
        <v>0.0206088992974239</v>
      </c>
      <c r="L6" s="15" t="n">
        <f aca="false">IFERROR(H6/E6,0)</f>
        <v>0.00515222482435597</v>
      </c>
      <c r="M6" s="15" t="n">
        <f aca="false">IFERROR(I6/E6,0)</f>
        <v>0.00515222482435597</v>
      </c>
      <c r="N6" s="6" t="s">
        <v>105</v>
      </c>
      <c r="O6" s="6" t="s">
        <v>101</v>
      </c>
      <c r="P6" s="6"/>
    </row>
    <row r="7" customFormat="false" ht="23.85" hidden="false" customHeight="false" outlineLevel="0" collapsed="false">
      <c r="A7" s="6" t="s">
        <v>106</v>
      </c>
      <c r="B7" s="11" t="n">
        <v>46241</v>
      </c>
      <c r="C7" s="6" t="s">
        <v>98</v>
      </c>
      <c r="D7" s="6" t="s">
        <v>107</v>
      </c>
      <c r="E7" s="12" t="n">
        <v>8073</v>
      </c>
      <c r="F7" s="12" t="n">
        <v>79</v>
      </c>
      <c r="G7" s="12" t="n">
        <v>5</v>
      </c>
      <c r="H7" s="12" t="n">
        <v>14</v>
      </c>
      <c r="I7" s="12" t="n">
        <v>10</v>
      </c>
      <c r="J7" s="13" t="n">
        <v>22</v>
      </c>
      <c r="K7" s="14" t="n">
        <f aca="false">IFERROR(F7/E7,0)</f>
        <v>0.00978570543787935</v>
      </c>
      <c r="L7" s="15" t="n">
        <f aca="false">IFERROR(H7/E7,0)</f>
        <v>0.00173417564721913</v>
      </c>
      <c r="M7" s="15" t="n">
        <f aca="false">IFERROR(I7/E7,0)</f>
        <v>0.0012386968908708</v>
      </c>
      <c r="N7" s="6" t="s">
        <v>108</v>
      </c>
      <c r="O7" s="6" t="s">
        <v>101</v>
      </c>
      <c r="P7" s="6" t="s">
        <v>109</v>
      </c>
    </row>
    <row r="8" customFormat="false" ht="23.85" hidden="false" customHeight="false" outlineLevel="0" collapsed="false">
      <c r="A8" s="6" t="s">
        <v>110</v>
      </c>
      <c r="B8" s="11" t="n">
        <v>46243</v>
      </c>
      <c r="C8" s="6" t="s">
        <v>98</v>
      </c>
      <c r="D8" s="6" t="s">
        <v>111</v>
      </c>
      <c r="E8" s="12" t="n">
        <v>14700</v>
      </c>
      <c r="F8" s="12" t="n">
        <v>127</v>
      </c>
      <c r="G8" s="12" t="n">
        <v>3</v>
      </c>
      <c r="H8" s="12" t="n">
        <v>20</v>
      </c>
      <c r="I8" s="12" t="n">
        <v>15</v>
      </c>
      <c r="J8" s="13" t="n">
        <v>16</v>
      </c>
      <c r="K8" s="14" t="n">
        <f aca="false">IFERROR(F8/E8,0)</f>
        <v>0.00863945578231293</v>
      </c>
      <c r="L8" s="15" t="n">
        <f aca="false">IFERROR(H8/E8,0)</f>
        <v>0.00136054421768707</v>
      </c>
      <c r="M8" s="15" t="n">
        <f aca="false">IFERROR(I8/E8,0)</f>
        <v>0.00102040816326531</v>
      </c>
      <c r="N8" s="6" t="s">
        <v>112</v>
      </c>
      <c r="O8" s="6" t="s">
        <v>101</v>
      </c>
      <c r="P8" s="6" t="s">
        <v>113</v>
      </c>
    </row>
    <row r="9" customFormat="false" ht="23.85" hidden="false" customHeight="false" outlineLevel="0" collapsed="false">
      <c r="A9" s="6" t="s">
        <v>114</v>
      </c>
      <c r="B9" s="11" t="n">
        <v>46269</v>
      </c>
      <c r="C9" s="6" t="s">
        <v>98</v>
      </c>
      <c r="D9" s="6" t="s">
        <v>115</v>
      </c>
      <c r="E9" s="12" t="n">
        <v>4546</v>
      </c>
      <c r="F9" s="12" t="n">
        <v>131</v>
      </c>
      <c r="G9" s="12" t="n">
        <v>11</v>
      </c>
      <c r="H9" s="12" t="n">
        <v>26</v>
      </c>
      <c r="I9" s="12" t="n">
        <v>23</v>
      </c>
      <c r="J9" s="13" t="n">
        <v>29</v>
      </c>
      <c r="K9" s="14" t="n">
        <f aca="false">IFERROR(F9/E9,0)</f>
        <v>0.0288165420149582</v>
      </c>
      <c r="L9" s="15" t="n">
        <f aca="false">IFERROR(H9/E9,0)</f>
        <v>0.00571931368235812</v>
      </c>
      <c r="M9" s="15" t="n">
        <f aca="false">IFERROR(I9/E9,0)</f>
        <v>0.00505939287285526</v>
      </c>
      <c r="N9" s="6" t="s">
        <v>116</v>
      </c>
      <c r="O9" s="6" t="s">
        <v>101</v>
      </c>
      <c r="P9" s="6" t="s">
        <v>117</v>
      </c>
    </row>
    <row r="10" customFormat="false" ht="23.85" hidden="false" customHeight="false" outlineLevel="0" collapsed="false">
      <c r="A10" s="6" t="s">
        <v>118</v>
      </c>
      <c r="B10" s="11" t="n">
        <v>46291</v>
      </c>
      <c r="C10" s="6" t="s">
        <v>119</v>
      </c>
      <c r="D10" s="6" t="s">
        <v>120</v>
      </c>
      <c r="E10" s="12" t="n">
        <v>653</v>
      </c>
      <c r="F10" s="12" t="n">
        <v>21</v>
      </c>
      <c r="G10" s="12" t="n">
        <v>2</v>
      </c>
      <c r="H10" s="12" t="n">
        <v>11</v>
      </c>
      <c r="I10" s="12" t="n">
        <v>0</v>
      </c>
      <c r="J10" s="13" t="n">
        <v>8</v>
      </c>
      <c r="K10" s="14" t="n">
        <f aca="false">IFERROR(F10/E10,0)</f>
        <v>0.0321592649310873</v>
      </c>
      <c r="L10" s="15" t="n">
        <f aca="false">IFERROR(H10/E10,0)</f>
        <v>0.0168453292496172</v>
      </c>
      <c r="M10" s="15" t="n">
        <f aca="false">IFERROR(I10/E10,0)</f>
        <v>0</v>
      </c>
      <c r="N10" s="6" t="s">
        <v>121</v>
      </c>
      <c r="O10" s="6" t="s">
        <v>122</v>
      </c>
      <c r="P10" s="6" t="s">
        <v>123</v>
      </c>
    </row>
    <row r="11" customFormat="false" ht="23.85" hidden="false" customHeight="false" outlineLevel="0" collapsed="false">
      <c r="A11" s="6" t="s">
        <v>124</v>
      </c>
      <c r="B11" s="11" t="n">
        <v>46291</v>
      </c>
      <c r="C11" s="6" t="s">
        <v>119</v>
      </c>
      <c r="D11" s="6" t="s">
        <v>125</v>
      </c>
      <c r="E11" s="12" t="n">
        <v>227</v>
      </c>
      <c r="F11" s="12" t="n">
        <v>8</v>
      </c>
      <c r="G11" s="12" t="n">
        <v>2</v>
      </c>
      <c r="H11" s="12" t="n">
        <v>0</v>
      </c>
      <c r="I11" s="12" t="n">
        <v>1</v>
      </c>
      <c r="J11" s="13" t="n">
        <v>15</v>
      </c>
      <c r="K11" s="14" t="n">
        <f aca="false">IFERROR(F11/E11,0)</f>
        <v>0.0352422907488987</v>
      </c>
      <c r="L11" s="15" t="n">
        <f aca="false">IFERROR(H11/E11,0)</f>
        <v>0</v>
      </c>
      <c r="M11" s="15" t="n">
        <f aca="false">IFERROR(I11/E11,0)</f>
        <v>0.00440528634361234</v>
      </c>
      <c r="N11" s="6" t="s">
        <v>126</v>
      </c>
      <c r="O11" s="6" t="s">
        <v>101</v>
      </c>
      <c r="P11" s="6"/>
    </row>
    <row r="12" customFormat="false" ht="23.85" hidden="false" customHeight="false" outlineLevel="0" collapsed="false">
      <c r="A12" s="6" t="s">
        <v>127</v>
      </c>
      <c r="B12" s="11" t="n">
        <v>46293</v>
      </c>
      <c r="C12" s="6" t="s">
        <v>119</v>
      </c>
      <c r="D12" s="6" t="s">
        <v>128</v>
      </c>
      <c r="E12" s="12" t="n">
        <v>312</v>
      </c>
      <c r="F12" s="12" t="n">
        <v>12</v>
      </c>
      <c r="G12" s="12" t="n">
        <v>2</v>
      </c>
      <c r="H12" s="12" t="n">
        <v>9</v>
      </c>
      <c r="I12" s="12" t="n">
        <v>1</v>
      </c>
      <c r="J12" s="13" t="n">
        <v>17</v>
      </c>
      <c r="K12" s="14" t="n">
        <f aca="false">IFERROR(F12/E12,0)</f>
        <v>0.0384615384615385</v>
      </c>
      <c r="L12" s="15" t="n">
        <f aca="false">IFERROR(H12/E12,0)</f>
        <v>0.0288461538461538</v>
      </c>
      <c r="M12" s="15" t="n">
        <f aca="false">IFERROR(I12/E12,0)</f>
        <v>0.00320512820512821</v>
      </c>
      <c r="N12" s="6" t="s">
        <v>129</v>
      </c>
      <c r="O12" s="6" t="s">
        <v>101</v>
      </c>
      <c r="P12" s="6" t="s">
        <v>130</v>
      </c>
    </row>
    <row r="13" customFormat="false" ht="35.05" hidden="false" customHeight="false" outlineLevel="0" collapsed="false">
      <c r="A13" s="6" t="s">
        <v>131</v>
      </c>
      <c r="B13" s="11" t="n">
        <v>46314</v>
      </c>
      <c r="C13" s="6" t="s">
        <v>119</v>
      </c>
      <c r="D13" s="6" t="s">
        <v>132</v>
      </c>
      <c r="E13" s="12" t="n">
        <v>324</v>
      </c>
      <c r="F13" s="12" t="n">
        <v>14</v>
      </c>
      <c r="G13" s="12" t="n">
        <v>1</v>
      </c>
      <c r="H13" s="12" t="n">
        <v>5</v>
      </c>
      <c r="I13" s="12" t="n">
        <v>0</v>
      </c>
      <c r="J13" s="13" t="n">
        <v>15</v>
      </c>
      <c r="K13" s="14" t="n">
        <f aca="false">IFERROR(F13/E13,0)</f>
        <v>0.0432098765432099</v>
      </c>
      <c r="L13" s="15" t="n">
        <f aca="false">IFERROR(H13/E13,0)</f>
        <v>0.0154320987654321</v>
      </c>
      <c r="M13" s="15" t="n">
        <f aca="false">IFERROR(I13/E13,0)</f>
        <v>0</v>
      </c>
      <c r="N13" s="6" t="s">
        <v>133</v>
      </c>
      <c r="O13" s="6" t="s">
        <v>134</v>
      </c>
      <c r="P13" s="6" t="s">
        <v>135</v>
      </c>
    </row>
    <row r="14" customFormat="false" ht="23.85" hidden="false" customHeight="false" outlineLevel="0" collapsed="false">
      <c r="A14" s="6" t="s">
        <v>136</v>
      </c>
      <c r="B14" s="11" t="n">
        <v>46316</v>
      </c>
      <c r="C14" s="6" t="s">
        <v>119</v>
      </c>
      <c r="D14" s="6" t="s">
        <v>137</v>
      </c>
      <c r="E14" s="12" t="n">
        <v>147</v>
      </c>
      <c r="F14" s="12" t="n">
        <v>13</v>
      </c>
      <c r="G14" s="12" t="n">
        <v>1</v>
      </c>
      <c r="H14" s="12" t="n">
        <v>10</v>
      </c>
      <c r="I14" s="12" t="n">
        <v>1</v>
      </c>
      <c r="J14" s="13" t="n">
        <v>20</v>
      </c>
      <c r="K14" s="14" t="n">
        <f aca="false">IFERROR(F14/E14,0)</f>
        <v>0.0884353741496599</v>
      </c>
      <c r="L14" s="15" t="n">
        <f aca="false">IFERROR(H14/E14,0)</f>
        <v>0.0680272108843538</v>
      </c>
      <c r="M14" s="15" t="n">
        <f aca="false">IFERROR(I14/E14,0)</f>
        <v>0.00680272108843537</v>
      </c>
      <c r="N14" s="6" t="s">
        <v>138</v>
      </c>
      <c r="O14" s="6" t="s">
        <v>101</v>
      </c>
      <c r="P14" s="6" t="s">
        <v>139</v>
      </c>
    </row>
    <row r="16" customFormat="false" ht="15" hidden="false" customHeight="false" outlineLevel="0" collapsed="false">
      <c r="A16" s="3" t="s">
        <v>140</v>
      </c>
      <c r="B16" s="3"/>
      <c r="C16" s="3"/>
      <c r="D16" s="3"/>
      <c r="E16" s="3"/>
      <c r="F16" s="3"/>
      <c r="G16" s="3"/>
      <c r="H16" s="3"/>
      <c r="I16" s="3"/>
      <c r="J16" s="3"/>
      <c r="K16" s="3"/>
      <c r="L16" s="3"/>
      <c r="M16" s="3"/>
      <c r="N16" s="3"/>
      <c r="O16" s="3"/>
      <c r="P16" s="3"/>
    </row>
    <row r="17" customFormat="false" ht="15" hidden="false" customHeight="true" outlineLevel="0" collapsed="false">
      <c r="A17" s="16" t="s">
        <v>141</v>
      </c>
      <c r="B17" s="16"/>
      <c r="C17" s="16"/>
      <c r="D17" s="16"/>
      <c r="E17" s="17" t="n">
        <f aca="false">SUM(E5:E14)</f>
        <v>33849</v>
      </c>
    </row>
    <row r="18" customFormat="false" ht="15" hidden="false" customHeight="true" outlineLevel="0" collapsed="false">
      <c r="A18" s="16" t="s">
        <v>142</v>
      </c>
      <c r="B18" s="16"/>
      <c r="C18" s="16"/>
      <c r="D18" s="16"/>
      <c r="E18" s="17" t="n">
        <f aca="false">MEDIAN(E5:E14)</f>
        <v>1394</v>
      </c>
    </row>
    <row r="19" customFormat="false" ht="15" hidden="false" customHeight="true" outlineLevel="0" collapsed="false">
      <c r="A19" s="16" t="s">
        <v>143</v>
      </c>
      <c r="B19" s="16"/>
      <c r="C19" s="16"/>
      <c r="D19" s="16"/>
      <c r="E19" s="17" t="n">
        <f aca="false">AVERAGE(E5:E14)</f>
        <v>3384.9</v>
      </c>
    </row>
    <row r="20" customFormat="false" ht="15" hidden="false" customHeight="true" outlineLevel="0" collapsed="false">
      <c r="A20" s="16" t="s">
        <v>144</v>
      </c>
      <c r="B20" s="16"/>
      <c r="C20" s="16"/>
      <c r="D20" s="16"/>
      <c r="E20" s="17" t="n">
        <f aca="false">MEDIAN(E5:E9)</f>
        <v>4546</v>
      </c>
    </row>
    <row r="21" customFormat="false" ht="15" hidden="false" customHeight="true" outlineLevel="0" collapsed="false">
      <c r="A21" s="16" t="s">
        <v>145</v>
      </c>
      <c r="B21" s="16"/>
      <c r="C21" s="16"/>
      <c r="D21" s="16"/>
      <c r="E21" s="17" t="n">
        <f aca="false">MEDIAN(E10:E14)</f>
        <v>312</v>
      </c>
    </row>
    <row r="22" customFormat="false" ht="15" hidden="false" customHeight="true" outlineLevel="0" collapsed="false">
      <c r="A22" s="16" t="s">
        <v>146</v>
      </c>
      <c r="B22" s="16"/>
      <c r="C22" s="16"/>
      <c r="D22" s="16"/>
      <c r="E22" s="18" t="n">
        <f aca="false">IFERROR(E20/E21,0)</f>
        <v>14.5705128205128</v>
      </c>
    </row>
    <row r="23" customFormat="false" ht="15" hidden="false" customHeight="true" outlineLevel="0" collapsed="false">
      <c r="A23" s="16" t="s">
        <v>147</v>
      </c>
      <c r="B23" s="16"/>
      <c r="C23" s="16"/>
      <c r="D23" s="16"/>
      <c r="E23" s="19" t="n">
        <f aca="false">COUNTIF(E5:E14,"&gt;10000")</f>
        <v>1</v>
      </c>
    </row>
    <row r="25" customFormat="false" ht="15" hidden="false" customHeight="false" outlineLevel="0" collapsed="false">
      <c r="A25" s="3" t="s">
        <v>148</v>
      </c>
      <c r="B25" s="3"/>
      <c r="C25" s="3"/>
      <c r="D25" s="3"/>
      <c r="E25" s="3"/>
      <c r="F25" s="3"/>
      <c r="G25" s="3"/>
      <c r="H25" s="3"/>
      <c r="I25" s="3"/>
      <c r="J25" s="3"/>
      <c r="K25" s="3"/>
      <c r="L25" s="3"/>
      <c r="M25" s="3"/>
      <c r="N25" s="3"/>
      <c r="O25" s="3"/>
      <c r="P25" s="3"/>
    </row>
    <row r="26" customFormat="false" ht="15" hidden="false" customHeight="false" outlineLevel="0" collapsed="false">
      <c r="A26" s="4" t="s">
        <v>149</v>
      </c>
      <c r="B26" s="4" t="s">
        <v>150</v>
      </c>
      <c r="C26" s="4" t="s">
        <v>151</v>
      </c>
      <c r="D26" s="4" t="s">
        <v>152</v>
      </c>
    </row>
    <row r="27" customFormat="false" ht="15" hidden="false" customHeight="false" outlineLevel="0" collapsed="false">
      <c r="A27" s="6" t="s">
        <v>56</v>
      </c>
      <c r="B27" s="12" t="n">
        <v>386</v>
      </c>
      <c r="C27" s="13" t="n">
        <v>4</v>
      </c>
      <c r="D27" s="6" t="s">
        <v>153</v>
      </c>
    </row>
    <row r="28" customFormat="false" ht="15" hidden="false" customHeight="false" outlineLevel="0" collapsed="false">
      <c r="A28" s="6" t="s">
        <v>59</v>
      </c>
      <c r="B28" s="12" t="n">
        <v>151</v>
      </c>
      <c r="C28" s="13" t="n">
        <v>7</v>
      </c>
      <c r="D28" s="6" t="s">
        <v>154</v>
      </c>
    </row>
    <row r="30" customFormat="false" ht="15" hidden="false" customHeight="false" outlineLevel="0" collapsed="false">
      <c r="A30" s="3" t="s">
        <v>155</v>
      </c>
      <c r="B30" s="3"/>
      <c r="C30" s="3"/>
      <c r="D30" s="3"/>
      <c r="E30" s="3"/>
      <c r="F30" s="3"/>
      <c r="G30" s="3"/>
      <c r="H30" s="3"/>
      <c r="I30" s="3"/>
      <c r="J30" s="3"/>
      <c r="K30" s="3"/>
      <c r="L30" s="3"/>
      <c r="M30" s="3"/>
      <c r="N30" s="3"/>
      <c r="O30" s="3"/>
      <c r="P30" s="3"/>
    </row>
    <row r="31" customFormat="false" ht="30" hidden="false" customHeight="true" outlineLevel="0" collapsed="false">
      <c r="D31" s="20" t="s">
        <v>156</v>
      </c>
      <c r="E31" s="20"/>
      <c r="F31" s="20"/>
      <c r="G31" s="20"/>
      <c r="H31" s="20"/>
      <c r="I31" s="20"/>
      <c r="J31" s="20"/>
      <c r="K31" s="20"/>
      <c r="L31" s="20"/>
      <c r="M31" s="20"/>
      <c r="N31" s="20"/>
    </row>
    <row r="32" customFormat="false" ht="30" hidden="false" customHeight="true" outlineLevel="0" collapsed="false">
      <c r="D32" s="20" t="s">
        <v>157</v>
      </c>
      <c r="E32" s="20"/>
      <c r="F32" s="20"/>
      <c r="G32" s="20"/>
      <c r="H32" s="20"/>
      <c r="I32" s="20"/>
      <c r="J32" s="20"/>
      <c r="K32" s="20"/>
      <c r="L32" s="20"/>
      <c r="M32" s="20"/>
      <c r="N32" s="20"/>
    </row>
    <row r="33" customFormat="false" ht="43.5" hidden="false" customHeight="true" outlineLevel="0" collapsed="false">
      <c r="D33" s="20" t="s">
        <v>158</v>
      </c>
      <c r="E33" s="20"/>
      <c r="F33" s="20"/>
      <c r="G33" s="20"/>
      <c r="H33" s="20"/>
      <c r="I33" s="20"/>
      <c r="J33" s="20"/>
      <c r="K33" s="20"/>
      <c r="L33" s="20"/>
      <c r="M33" s="20"/>
      <c r="N33" s="20"/>
    </row>
    <row r="34" customFormat="false" ht="16.5" hidden="false" customHeight="true" outlineLevel="0" collapsed="false">
      <c r="D34" s="20" t="s">
        <v>159</v>
      </c>
      <c r="E34" s="20"/>
      <c r="F34" s="20"/>
      <c r="G34" s="20"/>
      <c r="H34" s="20"/>
      <c r="I34" s="20"/>
      <c r="J34" s="20"/>
      <c r="K34" s="20"/>
      <c r="L34" s="20"/>
      <c r="M34" s="20"/>
      <c r="N34" s="20"/>
    </row>
    <row r="35" customFormat="false" ht="16.5" hidden="false" customHeight="true" outlineLevel="0" collapsed="false">
      <c r="D35" s="20" t="s">
        <v>160</v>
      </c>
      <c r="E35" s="20"/>
      <c r="F35" s="20"/>
      <c r="G35" s="20"/>
      <c r="H35" s="20"/>
      <c r="I35" s="20"/>
      <c r="J35" s="20"/>
      <c r="K35" s="20"/>
      <c r="L35" s="20"/>
      <c r="M35" s="20"/>
      <c r="N35" s="20"/>
    </row>
    <row r="36" customFormat="false" ht="43.5" hidden="false" customHeight="true" outlineLevel="0" collapsed="false">
      <c r="D36" s="20" t="s">
        <v>161</v>
      </c>
      <c r="E36" s="20"/>
      <c r="F36" s="20"/>
      <c r="G36" s="20"/>
      <c r="H36" s="20"/>
      <c r="I36" s="20"/>
      <c r="J36" s="20"/>
      <c r="K36" s="20"/>
      <c r="L36" s="20"/>
      <c r="M36" s="20"/>
      <c r="N36" s="20"/>
    </row>
  </sheetData>
  <mergeCells count="13">
    <mergeCell ref="A17:D17"/>
    <mergeCell ref="A18:D18"/>
    <mergeCell ref="A19:D19"/>
    <mergeCell ref="A20:D20"/>
    <mergeCell ref="A21:D21"/>
    <mergeCell ref="A22:D22"/>
    <mergeCell ref="A23:D23"/>
    <mergeCell ref="D31:N31"/>
    <mergeCell ref="D32:N32"/>
    <mergeCell ref="D33:N33"/>
    <mergeCell ref="D34:N34"/>
    <mergeCell ref="D35:N35"/>
    <mergeCell ref="D36:N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G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4"/>
    <col collapsed="false" customWidth="true" hidden="false" outlineLevel="0" max="6" min="3" style="0" width="16"/>
    <col collapsed="false" customWidth="true" hidden="false" outlineLevel="0" max="7" min="7" style="0" width="70"/>
  </cols>
  <sheetData>
    <row r="1" customFormat="false" ht="24" hidden="false" customHeight="true" outlineLevel="0" collapsed="false">
      <c r="A1" s="1" t="s">
        <v>162</v>
      </c>
    </row>
    <row r="2" customFormat="false" ht="15" hidden="false" customHeight="false" outlineLevel="0" collapsed="false">
      <c r="A2" s="2" t="s">
        <v>163</v>
      </c>
    </row>
    <row r="4" customFormat="false" ht="15" hidden="false" customHeight="false" outlineLevel="0" collapsed="false">
      <c r="A4" s="3" t="s">
        <v>164</v>
      </c>
      <c r="B4" s="3"/>
      <c r="C4" s="3"/>
      <c r="D4" s="3"/>
      <c r="E4" s="3"/>
      <c r="F4" s="3"/>
      <c r="G4" s="3"/>
    </row>
    <row r="5" customFormat="false" ht="15" hidden="false" customHeight="false" outlineLevel="0" collapsed="false">
      <c r="A5" s="10" t="s">
        <v>165</v>
      </c>
      <c r="B5" s="17" t="n">
        <f aca="false">COUNT('Niche Videos'!$F$2:$F$480)</f>
        <v>479</v>
      </c>
    </row>
    <row r="6" customFormat="false" ht="15" hidden="false" customHeight="false" outlineLevel="0" collapsed="false">
      <c r="A6" s="10" t="s">
        <v>166</v>
      </c>
      <c r="B6" s="17" t="n">
        <f aca="false">COUNTIF('Niche Videos'!$K$2:$K$480,"yes")</f>
        <v>188</v>
      </c>
    </row>
    <row r="7" customFormat="false" ht="15" hidden="false" customHeight="false" outlineLevel="0" collapsed="false">
      <c r="A7" s="10" t="s">
        <v>167</v>
      </c>
      <c r="B7" s="17" t="n">
        <f aca="false">MEDIAN('Niche Videos'!$F$2:$F$480)</f>
        <v>7052</v>
      </c>
    </row>
    <row r="8" customFormat="false" ht="15" hidden="false" customHeight="false" outlineLevel="0" collapsed="false">
      <c r="A8" s="10" t="s">
        <v>168</v>
      </c>
      <c r="B8" s="21" t="n">
        <f aca="false" t="array" ref="B8:B8">MEDIAN(IF('Niche Videos'!$K$2:$K$480="yes",'Niche Videos'!$F$2:$F$480))</f>
        <v>8810</v>
      </c>
    </row>
    <row r="9" customFormat="false" ht="15" hidden="false" customHeight="false" outlineLevel="0" collapsed="false">
      <c r="A9" s="10" t="s">
        <v>169</v>
      </c>
      <c r="B9" s="15" t="n">
        <f aca="false">MEDIAN('Niche Videos'!$M$2:$M$480)</f>
        <v>0.00228571428571429</v>
      </c>
    </row>
    <row r="10" customFormat="false" ht="15" hidden="false" customHeight="false" outlineLevel="0" collapsed="false">
      <c r="A10" s="10" t="s">
        <v>170</v>
      </c>
      <c r="B10" s="15" t="n">
        <f aca="false">MEDIAN('Niche Videos'!$N$2:$N$480)</f>
        <v>0.00286327845382964</v>
      </c>
    </row>
    <row r="12" customFormat="false" ht="15" hidden="false" customHeight="false" outlineLevel="0" collapsed="false">
      <c r="A12" s="3" t="s">
        <v>171</v>
      </c>
      <c r="B12" s="3"/>
      <c r="C12" s="3"/>
      <c r="D12" s="3"/>
      <c r="E12" s="3"/>
      <c r="F12" s="3"/>
      <c r="G12" s="3"/>
    </row>
    <row r="13" customFormat="false" ht="23.85" hidden="false" customHeight="false" outlineLevel="0" collapsed="false">
      <c r="A13" s="4" t="s">
        <v>172</v>
      </c>
      <c r="B13" s="4" t="s">
        <v>173</v>
      </c>
      <c r="C13" s="4" t="s">
        <v>174</v>
      </c>
      <c r="D13" s="4" t="s">
        <v>175</v>
      </c>
      <c r="E13" s="4" t="s">
        <v>176</v>
      </c>
      <c r="F13" s="4" t="s">
        <v>177</v>
      </c>
      <c r="G13" s="4" t="s">
        <v>178</v>
      </c>
    </row>
    <row r="14" customFormat="false" ht="15" hidden="false" customHeight="false" outlineLevel="0" collapsed="false">
      <c r="A14" s="6" t="s">
        <v>179</v>
      </c>
      <c r="B14" s="17" t="n">
        <f aca="false">COUNTIFS('Niche Videos'!$K$2:$K$480,"yes",'Niche Videos'!$O$2:$O$480,1)</f>
        <v>85</v>
      </c>
      <c r="C14" s="21" t="n">
        <f aca="false" t="array" ref="C14:C14">IFERROR(MEDIAN(IF(('Niche Videos'!$K$2:$K$480="yes")*('Niche Videos'!$O$2:$O$480=1),'Niche Videos'!$F$2:$F$480)),"n/a")</f>
        <v>18200</v>
      </c>
      <c r="D14" s="17" t="n">
        <f aca="false">COUNTIFS('Niche Videos'!$K$2:$K$480,"yes",'Niche Videos'!$O$2:$O$480,0)</f>
        <v>103</v>
      </c>
      <c r="E14" s="21" t="n">
        <f aca="false" t="array" ref="E14:E14">IFERROR(MEDIAN(IF(('Niche Videos'!$K$2:$K$480="yes")*('Niche Videos'!$O$2:$O$480=0),'Niche Videos'!$F$2:$F$480)),"n/a")</f>
        <v>4539</v>
      </c>
      <c r="F14" s="18" t="n">
        <f aca="false">IFERROR(C14/E14,"n/a")</f>
        <v>4.00969376514651</v>
      </c>
      <c r="G14" s="6" t="s">
        <v>180</v>
      </c>
    </row>
    <row r="15" customFormat="false" ht="15" hidden="false" customHeight="false" outlineLevel="0" collapsed="false">
      <c r="A15" s="6" t="s">
        <v>181</v>
      </c>
      <c r="B15" s="17" t="n">
        <f aca="false">COUNTIFS('Niche Videos'!$K$2:$K$480,"yes",'Niche Videos'!$P$2:$P$480,1)</f>
        <v>45</v>
      </c>
      <c r="C15" s="21" t="n">
        <f aca="false" t="array" ref="C15:C15">IFERROR(MEDIAN(IF(('Niche Videos'!$K$2:$K$480="yes")*('Niche Videos'!$P$2:$P$480=1),'Niche Videos'!$F$2:$F$480)),"n/a")</f>
        <v>16800</v>
      </c>
      <c r="D15" s="17" t="n">
        <f aca="false">COUNTIFS('Niche Videos'!$K$2:$K$480,"yes",'Niche Videos'!$P$2:$P$480,0)</f>
        <v>143</v>
      </c>
      <c r="E15" s="21" t="n">
        <f aca="false" t="array" ref="E15:E15">IFERROR(MEDIAN(IF(('Niche Videos'!$K$2:$K$480="yes")*('Niche Videos'!$P$2:$P$480=0),'Niche Videos'!$F$2:$F$480)),"n/a")</f>
        <v>6833</v>
      </c>
      <c r="F15" s="18" t="n">
        <f aca="false">IFERROR(C15/E15,"n/a")</f>
        <v>2.45865651983024</v>
      </c>
      <c r="G15" s="6" t="s">
        <v>182</v>
      </c>
    </row>
    <row r="16" customFormat="false" ht="15" hidden="false" customHeight="false" outlineLevel="0" collapsed="false">
      <c r="A16" s="6" t="s">
        <v>183</v>
      </c>
      <c r="B16" s="17" t="n">
        <f aca="false">COUNTIFS('Niche Videos'!$K$2:$K$480,"yes",'Niche Videos'!$Q$2:$Q$480,1)</f>
        <v>53</v>
      </c>
      <c r="C16" s="21" t="n">
        <f aca="false" t="array" ref="C16:C16">IFERROR(MEDIAN(IF(('Niche Videos'!$K$2:$K$480="yes")*('Niche Videos'!$Q$2:$Q$480=1),'Niche Videos'!$F$2:$F$480)),"n/a")</f>
        <v>4768</v>
      </c>
      <c r="D16" s="17" t="n">
        <f aca="false">COUNTIFS('Niche Videos'!$K$2:$K$480,"yes",'Niche Videos'!$Q$2:$Q$480,0)</f>
        <v>135</v>
      </c>
      <c r="E16" s="21" t="n">
        <f aca="false" t="array" ref="E16:E16">IFERROR(MEDIAN(IF(('Niche Videos'!$K$2:$K$480="yes")*('Niche Videos'!$Q$2:$Q$480=0),'Niche Videos'!$F$2:$F$480)),"n/a")</f>
        <v>13900</v>
      </c>
      <c r="F16" s="18" t="n">
        <f aca="false">IFERROR(C16/E16,"n/a")</f>
        <v>0.343021582733813</v>
      </c>
      <c r="G16" s="6" t="s">
        <v>184</v>
      </c>
    </row>
    <row r="18" customFormat="false" ht="15" hidden="false" customHeight="false" outlineLevel="0" collapsed="false">
      <c r="A18" s="3" t="s">
        <v>185</v>
      </c>
      <c r="B18" s="3"/>
      <c r="C18" s="3"/>
      <c r="D18" s="3"/>
      <c r="E18" s="3"/>
      <c r="F18" s="3"/>
      <c r="G18" s="3"/>
    </row>
    <row r="19" customFormat="false" ht="15" hidden="false" customHeight="false" outlineLevel="0" collapsed="false">
      <c r="A19" s="4" t="s">
        <v>186</v>
      </c>
      <c r="B19" s="4" t="s">
        <v>187</v>
      </c>
      <c r="C19" s="4" t="s">
        <v>188</v>
      </c>
      <c r="D19" s="4" t="s">
        <v>189</v>
      </c>
      <c r="E19" s="4" t="s">
        <v>190</v>
      </c>
      <c r="F19" s="4"/>
      <c r="G19" s="4" t="s">
        <v>178</v>
      </c>
    </row>
    <row r="20" customFormat="false" ht="15" hidden="false" customHeight="false" outlineLevel="0" collapsed="false">
      <c r="A20" s="6" t="s">
        <v>191</v>
      </c>
      <c r="B20" s="17" t="n">
        <f aca="false">COUNTIF('Niche Videos'!$R$2:$R$480,1)</f>
        <v>80</v>
      </c>
      <c r="C20" s="21" t="n">
        <f aca="false" t="array" ref="C20:C20">IFERROR(MEDIAN(IF('Niche Videos'!$R$2:$R$480=1,'Niche Videos'!$F$2:$F$480)),"n/a")</f>
        <v>29950</v>
      </c>
      <c r="D20" s="22" t="n">
        <f aca="false" t="array" ref="D20:D20">IFERROR(MEDIAN(IF('Niche Videos'!$R$2:$R$480=1,'Niche Videos'!$M$2:$M$480)),"n/a")</f>
        <v>0.00390596663226694</v>
      </c>
      <c r="E20" s="22" t="n">
        <f aca="false" t="array" ref="E20:E20">IFERROR(MEDIAN(IF('Niche Videos'!$R$2:$R$480=1,'Niche Videos'!$N$2:$N$480)),"n/a")</f>
        <v>0.00320048141659394</v>
      </c>
      <c r="G20" s="6" t="s">
        <v>192</v>
      </c>
    </row>
    <row r="21" customFormat="false" ht="15" hidden="false" customHeight="false" outlineLevel="0" collapsed="false">
      <c r="A21" s="6" t="s">
        <v>193</v>
      </c>
      <c r="B21" s="17" t="n">
        <f aca="false">COUNTIF('Niche Videos'!$S$2:$S$480,1)</f>
        <v>6</v>
      </c>
      <c r="C21" s="21" t="n">
        <f aca="false" t="array" ref="C21:C21">IFERROR(MEDIAN(IF('Niche Videos'!$S$2:$S$480=1,'Niche Videos'!$F$2:$F$480)),"n/a")</f>
        <v>5974</v>
      </c>
      <c r="D21" s="22" t="n">
        <f aca="false" t="array" ref="D21:D21">IFERROR(MEDIAN(IF('Niche Videos'!$S$2:$S$480=1,'Niche Videos'!$M$2:$M$480)),"n/a")</f>
        <v>0.00457184050571054</v>
      </c>
      <c r="E21" s="22" t="n">
        <f aca="false" t="array" ref="E21:E21">IFERROR(MEDIAN(IF('Niche Videos'!$S$2:$S$480=1,'Niche Videos'!$N$2:$N$480)),"n/a")</f>
        <v>0.0040105351555915</v>
      </c>
      <c r="G21" s="6" t="s">
        <v>194</v>
      </c>
    </row>
    <row r="22" customFormat="false" ht="15" hidden="false" customHeight="false" outlineLevel="0" collapsed="false">
      <c r="A22" s="6" t="s">
        <v>195</v>
      </c>
      <c r="B22" s="17" t="n">
        <f aca="false">COUNTIF('Niche Videos'!$T$2:$T$480,1)</f>
        <v>126</v>
      </c>
      <c r="C22" s="21" t="n">
        <f aca="false" t="array" ref="C22:C22">IFERROR(MEDIAN(IF('Niche Videos'!$T$2:$T$480=1,'Niche Videos'!$F$2:$F$480)),"n/a")</f>
        <v>10244</v>
      </c>
      <c r="D22" s="22" t="n">
        <f aca="false" t="array" ref="D22:D22">IFERROR(MEDIAN(IF('Niche Videos'!$T$2:$T$480=1,'Niche Videos'!$M$2:$M$480)),"n/a")</f>
        <v>0.00300955575436721</v>
      </c>
      <c r="E22" s="22" t="n">
        <f aca="false" t="array" ref="E22:E22">IFERROR(MEDIAN(IF('Niche Videos'!$T$2:$T$480=1,'Niche Videos'!$N$2:$N$480)),"n/a")</f>
        <v>0.00343062257267271</v>
      </c>
      <c r="G22" s="6"/>
    </row>
    <row r="23" customFormat="false" ht="15" hidden="false" customHeight="false" outlineLevel="0" collapsed="false">
      <c r="A23" s="6" t="s">
        <v>196</v>
      </c>
      <c r="B23" s="17" t="n">
        <f aca="false">COUNTIF('Niche Videos'!$U$2:$U$480,1)</f>
        <v>38</v>
      </c>
      <c r="C23" s="21" t="n">
        <f aca="false" t="array" ref="C23:C23">IFERROR(MEDIAN(IF('Niche Videos'!$U$2:$U$480=1,'Niche Videos'!$F$2:$F$480)),"n/a")</f>
        <v>2480.5</v>
      </c>
      <c r="D23" s="22" t="n">
        <f aca="false" t="array" ref="D23:D23">IFERROR(MEDIAN(IF('Niche Videos'!$U$2:$U$480=1,'Niche Videos'!$M$2:$M$480)),"n/a")</f>
        <v>0.00185424332182011</v>
      </c>
      <c r="E23" s="22" t="n">
        <f aca="false" t="array" ref="E23:E23">IFERROR(MEDIAN(IF('Niche Videos'!$U$2:$U$480=1,'Niche Videos'!$N$2:$N$480)),"n/a")</f>
        <v>0.00205277900435162</v>
      </c>
      <c r="G23" s="6"/>
    </row>
    <row r="24" customFormat="false" ht="15" hidden="false" customHeight="false" outlineLevel="0" collapsed="false">
      <c r="A24" s="6" t="s">
        <v>197</v>
      </c>
      <c r="B24" s="17" t="n">
        <f aca="false">COUNTIF('Niche Videos'!$V$2:$V$480,1)</f>
        <v>61</v>
      </c>
      <c r="C24" s="21" t="n">
        <f aca="false" t="array" ref="C24:C24">IFERROR(MEDIAN(IF('Niche Videos'!$V$2:$V$480=1,'Niche Videos'!$F$2:$F$480)),"n/a")</f>
        <v>2462</v>
      </c>
      <c r="D24" s="22" t="n">
        <f aca="false" t="array" ref="D24:D24">IFERROR(MEDIAN(IF('Niche Videos'!$V$2:$V$480=1,'Niche Videos'!$M$2:$M$480)),"n/a")</f>
        <v>0.00261519302615193</v>
      </c>
      <c r="E24" s="22" t="n">
        <f aca="false" t="array" ref="E24:E24">IFERROR(MEDIAN(IF('Niche Videos'!$V$2:$V$480=1,'Niche Videos'!$N$2:$N$480)),"n/a")</f>
        <v>0.00298387096774194</v>
      </c>
      <c r="G24" s="6"/>
    </row>
    <row r="25" customFormat="false" ht="15" hidden="false" customHeight="false" outlineLevel="0" collapsed="false">
      <c r="A25" s="6" t="s">
        <v>198</v>
      </c>
      <c r="B25" s="17" t="n">
        <f aca="false">COUNTIF('Niche Videos'!$W$2:$W$480,1)</f>
        <v>98</v>
      </c>
      <c r="C25" s="21" t="n">
        <f aca="false" t="array" ref="C25:C25">IFERROR(MEDIAN(IF('Niche Videos'!$W$2:$W$480=1,'Niche Videos'!$F$2:$F$480)),"n/a")</f>
        <v>2013</v>
      </c>
      <c r="D25" s="22" t="n">
        <f aca="false" t="array" ref="D25:D25">IFERROR(MEDIAN(IF('Niche Videos'!$W$2:$W$480=1,'Niche Videos'!$M$2:$M$480)),"n/a")</f>
        <v>0.00119983907163527</v>
      </c>
      <c r="E25" s="22" t="n">
        <f aca="false" t="array" ref="E25:E25">IFERROR(MEDIAN(IF('Niche Videos'!$W$2:$W$480=1,'Niche Videos'!$N$2:$N$480)),"n/a")</f>
        <v>0.00180681461703538</v>
      </c>
      <c r="G25" s="6" t="s">
        <v>199</v>
      </c>
    </row>
    <row r="26" customFormat="false" ht="15" hidden="false" customHeight="false" outlineLevel="0" collapsed="false">
      <c r="A26" s="6" t="s">
        <v>200</v>
      </c>
      <c r="B26" s="17" t="n">
        <f aca="false">COUNTIF('Niche Videos'!$X$2:$X$480,1)</f>
        <v>147</v>
      </c>
      <c r="C26" s="21" t="n">
        <f aca="false" t="array" ref="C26:C26">IFERROR(MEDIAN(IF('Niche Videos'!$X$2:$X$480=1,'Niche Videos'!$F$2:$F$480)),"n/a")</f>
        <v>14100</v>
      </c>
      <c r="D26" s="22" t="n">
        <f aca="false" t="array" ref="D26:D26">IFERROR(MEDIAN(IF('Niche Videos'!$X$2:$X$480=1,'Niche Videos'!$M$2:$M$480)),"n/a")</f>
        <v>0.00243767313019391</v>
      </c>
      <c r="E26" s="22" t="n">
        <f aca="false" t="array" ref="E26:E26">IFERROR(MEDIAN(IF('Niche Videos'!$X$2:$X$480=1,'Niche Videos'!$N$2:$N$480)),"n/a")</f>
        <v>0.00321371183717193</v>
      </c>
      <c r="G26" s="6"/>
    </row>
    <row r="27" customFormat="false" ht="15" hidden="false" customHeight="false" outlineLevel="0" collapsed="false">
      <c r="A27" s="6" t="s">
        <v>201</v>
      </c>
      <c r="B27" s="17" t="n">
        <f aca="false">COUNTIF('Niche Videos'!$Y$2:$Y$480,1)</f>
        <v>20</v>
      </c>
      <c r="C27" s="21" t="n">
        <f aca="false" t="array" ref="C27:C27">IFERROR(MEDIAN(IF('Niche Videos'!$Y$2:$Y$480=1,'Niche Videos'!$F$2:$F$480)),"n/a")</f>
        <v>7960</v>
      </c>
      <c r="D27" s="22" t="n">
        <f aca="false" t="array" ref="D27:D27">IFERROR(MEDIAN(IF('Niche Videos'!$Y$2:$Y$480=1,'Niche Videos'!$M$2:$M$480)),"n/a")</f>
        <v>0.0031978321837338</v>
      </c>
      <c r="E27" s="22" t="n">
        <f aca="false" t="array" ref="E27:E27">IFERROR(MEDIAN(IF('Niche Videos'!$Y$2:$Y$480=1,'Niche Videos'!$N$2:$N$480)),"n/a")</f>
        <v>0.00236809039834157</v>
      </c>
      <c r="G27" s="6"/>
    </row>
    <row r="28" customFormat="false" ht="15" hidden="false" customHeight="false" outlineLevel="0" collapsed="false">
      <c r="A28" s="6" t="s">
        <v>202</v>
      </c>
      <c r="B28" s="17" t="n">
        <f aca="false">COUNTIF('Niche Videos'!$Z$2:$Z$480,1)</f>
        <v>9</v>
      </c>
      <c r="C28" s="21" t="n">
        <f aca="false" t="array" ref="C28:C28">IFERROR(MEDIAN(IF('Niche Videos'!$Z$2:$Z$480=1,'Niche Videos'!$F$2:$F$480)),"n/a")</f>
        <v>4692</v>
      </c>
      <c r="D28" s="22" t="n">
        <f aca="false" t="array" ref="D28:D28">IFERROR(MEDIAN(IF('Niche Videos'!$Z$2:$Z$480=1,'Niche Videos'!$M$2:$M$480)),"n/a")</f>
        <v>0.000887311446317658</v>
      </c>
      <c r="E28" s="22" t="n">
        <f aca="false" t="array" ref="E28:E28">IFERROR(MEDIAN(IF('Niche Videos'!$Z$2:$Z$480=1,'Niche Videos'!$N$2:$N$480)),"n/a")</f>
        <v>0.000993071593533487</v>
      </c>
      <c r="G28" s="6"/>
    </row>
    <row r="29" customFormat="false" ht="15" hidden="false" customHeight="false" outlineLevel="0" collapsed="false">
      <c r="A29" s="6" t="s">
        <v>203</v>
      </c>
      <c r="B29" s="17" t="n">
        <f aca="false">COUNTIF('Niche Videos'!$AA$2:$AA$480,1)</f>
        <v>9</v>
      </c>
      <c r="C29" s="21" t="n">
        <f aca="false" t="array" ref="C29:C29">IFERROR(MEDIAN(IF('Niche Videos'!$AA$2:$AA$480=1,'Niche Videos'!$F$2:$F$480)),"n/a")</f>
        <v>8317</v>
      </c>
      <c r="D29" s="22" t="n">
        <f aca="false" t="array" ref="D29:D29">IFERROR(MEDIAN(IF('Niche Videos'!$AA$2:$AA$480=1,'Niche Videos'!$M$2:$M$480)),"n/a")</f>
        <v>0.00136317395727365</v>
      </c>
      <c r="E29" s="22" t="n">
        <f aca="false" t="array" ref="E29:E29">IFERROR(MEDIAN(IF('Niche Videos'!$AA$2:$AA$480=1,'Niche Videos'!$N$2:$N$480)),"n/a")</f>
        <v>0.00312612720933029</v>
      </c>
      <c r="G29" s="6"/>
    </row>
    <row r="30" customFormat="false" ht="15" hidden="false" customHeight="false" outlineLevel="0" collapsed="false">
      <c r="A30" s="6" t="s">
        <v>204</v>
      </c>
      <c r="B30" s="17" t="n">
        <f aca="false">COUNTIF('Niche Videos'!$AB$2:$AB$480,1)</f>
        <v>29</v>
      </c>
      <c r="C30" s="21" t="n">
        <f aca="false" t="array" ref="C30:C30">IFERROR(MEDIAN(IF('Niche Videos'!$AB$2:$AB$480=1,'Niche Videos'!$F$2:$F$480)),"n/a")</f>
        <v>4436</v>
      </c>
      <c r="D30" s="22" t="n">
        <f aca="false" t="array" ref="D30:D30">IFERROR(MEDIAN(IF('Niche Videos'!$AB$2:$AB$480=1,'Niche Videos'!$M$2:$M$480)),"n/a")</f>
        <v>0.00248880039820806</v>
      </c>
      <c r="E30" s="22" t="n">
        <f aca="false" t="array" ref="E30:E30">IFERROR(MEDIAN(IF('Niche Videos'!$AB$2:$AB$480=1,'Niche Videos'!$N$2:$N$480)),"n/a")</f>
        <v>0.00299065420560748</v>
      </c>
      <c r="G30" s="6"/>
    </row>
    <row r="31" customFormat="false" ht="15" hidden="false" customHeight="false" outlineLevel="0" collapsed="false">
      <c r="A31" s="6" t="s">
        <v>205</v>
      </c>
      <c r="B31" s="17" t="n">
        <f aca="false">COUNTIF('Niche Videos'!$AC$2:$AC$480,1)</f>
        <v>15</v>
      </c>
      <c r="C31" s="21" t="n">
        <f aca="false" t="array" ref="C31:C31">IFERROR(MEDIAN(IF('Niche Videos'!$AC$2:$AC$480=1,'Niche Videos'!$F$2:$F$480)),"n/a")</f>
        <v>1476</v>
      </c>
      <c r="D31" s="22" t="n">
        <f aca="false" t="array" ref="D31:D31">IFERROR(MEDIAN(IF('Niche Videos'!$AC$2:$AC$480=1,'Niche Videos'!$M$2:$M$480)),"n/a")</f>
        <v>0.0018455859735466</v>
      </c>
      <c r="E31" s="22" t="n">
        <f aca="false" t="array" ref="E31:E31">IFERROR(MEDIAN(IF('Niche Videos'!$AC$2:$AC$480=1,'Niche Videos'!$N$2:$N$480)),"n/a")</f>
        <v>0.00260714285714286</v>
      </c>
      <c r="G31" s="6"/>
    </row>
    <row r="32" customFormat="false" ht="15" hidden="false" customHeight="false" outlineLevel="0" collapsed="false">
      <c r="A32" s="6" t="s">
        <v>206</v>
      </c>
      <c r="B32" s="17" t="n">
        <f aca="false">COUNTIF('Niche Videos'!$AD$2:$AD$480,1)</f>
        <v>30</v>
      </c>
      <c r="C32" s="21" t="n">
        <f aca="false" t="array" ref="C32:C32">IFERROR(MEDIAN(IF('Niche Videos'!$AD$2:$AD$480=1,'Niche Videos'!$F$2:$F$480)),"n/a")</f>
        <v>12250</v>
      </c>
      <c r="D32" s="22" t="n">
        <f aca="false" t="array" ref="D32:D32">IFERROR(MEDIAN(IF('Niche Videos'!$AD$2:$AD$480=1,'Niche Videos'!$M$2:$M$480)),"n/a")</f>
        <v>0.00235596332559428</v>
      </c>
      <c r="E32" s="22" t="n">
        <f aca="false" t="array" ref="E32:E32">IFERROR(MEDIAN(IF('Niche Videos'!$AD$2:$AD$480=1,'Niche Videos'!$N$2:$N$480)),"n/a")</f>
        <v>0.00382928609341826</v>
      </c>
      <c r="G32" s="6" t="s">
        <v>207</v>
      </c>
    </row>
    <row r="34" customFormat="false" ht="15" hidden="false" customHeight="false" outlineLevel="0" collapsed="false">
      <c r="A34" s="3" t="s">
        <v>208</v>
      </c>
      <c r="B34" s="3"/>
      <c r="C34" s="3"/>
      <c r="D34" s="3"/>
      <c r="E34" s="3"/>
      <c r="F34" s="3"/>
      <c r="G34" s="3"/>
    </row>
    <row r="35" customFormat="false" ht="15" hidden="false" customHeight="false" outlineLevel="0" collapsed="false">
      <c r="A35" s="4" t="s">
        <v>209</v>
      </c>
      <c r="B35" s="4" t="s">
        <v>210</v>
      </c>
      <c r="C35" s="4" t="s">
        <v>211</v>
      </c>
      <c r="D35" s="4" t="s">
        <v>212</v>
      </c>
      <c r="E35" s="4" t="s">
        <v>213</v>
      </c>
      <c r="F35" s="4" t="s">
        <v>214</v>
      </c>
      <c r="G35" s="4" t="s">
        <v>215</v>
      </c>
    </row>
    <row r="36" customFormat="false" ht="15" hidden="false" customHeight="false" outlineLevel="0" collapsed="false">
      <c r="A36" s="6" t="s">
        <v>216</v>
      </c>
      <c r="B36" s="13" t="n">
        <v>0</v>
      </c>
      <c r="C36" s="13" t="n">
        <v>10</v>
      </c>
      <c r="D36" s="17" t="n">
        <f aca="false">COUNTIFS('Niche Videos'!$E$2:$E$480,"&gt;="&amp;B36,'Niche Videos'!$E$2:$E$480,"&lt;"&amp;C36)</f>
        <v>35</v>
      </c>
      <c r="E36" s="21" t="n">
        <f aca="false" t="array" ref="E36:E36">IFERROR(MEDIAN(IF(('Niche Videos'!$E$2:$E$480&gt;=B36)*('Niche Videos'!$E$2:$E$480&lt;C36),'Niche Videos'!$F$2:$F$480)),"n/a")</f>
        <v>10500</v>
      </c>
      <c r="F36" s="17" t="n">
        <f aca="false">COUNTIFS('Niche Videos'!$E$2:$E$480,"&gt;="&amp;B36,'Niche Videos'!$E$2:$E$480,"&lt;"&amp;C36,'Niche Videos'!$K$2:$K$480,"yes")</f>
        <v>4</v>
      </c>
      <c r="G36" s="21" t="n">
        <f aca="false" t="array" ref="G36:G36">IFERROR(MEDIAN(IF(('Niche Videos'!$E$2:$E$480&gt;=B36)*('Niche Videos'!$E$2:$E$480&lt;C36)*('Niche Videos'!$K$2:$K$480="yes"),'Niche Videos'!$F$2:$F$480)),"n/a")</f>
        <v>914000</v>
      </c>
    </row>
    <row r="37" customFormat="false" ht="15" hidden="false" customHeight="false" outlineLevel="0" collapsed="false">
      <c r="A37" s="6" t="s">
        <v>217</v>
      </c>
      <c r="B37" s="13" t="n">
        <v>10</v>
      </c>
      <c r="C37" s="13" t="n">
        <v>20</v>
      </c>
      <c r="D37" s="17" t="n">
        <f aca="false">COUNTIFS('Niche Videos'!$E$2:$E$480,"&gt;="&amp;B37,'Niche Videos'!$E$2:$E$480,"&lt;"&amp;C37)</f>
        <v>105</v>
      </c>
      <c r="E37" s="21" t="n">
        <f aca="false" t="array" ref="E37:E37">IFERROR(MEDIAN(IF(('Niche Videos'!$E$2:$E$480&gt;=B37)*('Niche Videos'!$E$2:$E$480&lt;C37),'Niche Videos'!$F$2:$F$480)),"n/a")</f>
        <v>7979</v>
      </c>
      <c r="F37" s="17" t="n">
        <f aca="false">COUNTIFS('Niche Videos'!$E$2:$E$480,"&gt;="&amp;B37,'Niche Videos'!$E$2:$E$480,"&lt;"&amp;C37,'Niche Videos'!$K$2:$K$480,"yes")</f>
        <v>33</v>
      </c>
      <c r="G37" s="21" t="n">
        <f aca="false" t="array" ref="G37:G37">IFERROR(MEDIAN(IF(('Niche Videos'!$E$2:$E$480&gt;=B37)*('Niche Videos'!$E$2:$E$480&lt;C37)*('Niche Videos'!$K$2:$K$480="yes"),'Niche Videos'!$F$2:$F$480)),"n/a")</f>
        <v>7468</v>
      </c>
    </row>
    <row r="38" customFormat="false" ht="15" hidden="false" customHeight="false" outlineLevel="0" collapsed="false">
      <c r="A38" s="6" t="s">
        <v>218</v>
      </c>
      <c r="B38" s="13" t="n">
        <v>20</v>
      </c>
      <c r="C38" s="13" t="n">
        <v>35</v>
      </c>
      <c r="D38" s="17" t="n">
        <f aca="false">COUNTIFS('Niche Videos'!$E$2:$E$480,"&gt;="&amp;B38,'Niche Videos'!$E$2:$E$480,"&lt;"&amp;C38)</f>
        <v>144</v>
      </c>
      <c r="E38" s="21" t="n">
        <f aca="false" t="array" ref="E38:E38">IFERROR(MEDIAN(IF(('Niche Videos'!$E$2:$E$480&gt;=B38)*('Niche Videos'!$E$2:$E$480&lt;C38),'Niche Videos'!$F$2:$F$480)),"n/a")</f>
        <v>3855.5</v>
      </c>
      <c r="F38" s="17" t="n">
        <f aca="false">COUNTIFS('Niche Videos'!$E$2:$E$480,"&gt;="&amp;B38,'Niche Videos'!$E$2:$E$480,"&lt;"&amp;C38,'Niche Videos'!$K$2:$K$480,"yes")</f>
        <v>62</v>
      </c>
      <c r="G38" s="21" t="n">
        <f aca="false" t="array" ref="G38:G38">IFERROR(MEDIAN(IF(('Niche Videos'!$E$2:$E$480&gt;=B38)*('Niche Videos'!$E$2:$E$480&lt;C38)*('Niche Videos'!$K$2:$K$480="yes"),'Niche Videos'!$F$2:$F$480)),"n/a")</f>
        <v>4487.5</v>
      </c>
    </row>
    <row r="39" customFormat="false" ht="15" hidden="false" customHeight="false" outlineLevel="0" collapsed="false">
      <c r="A39" s="6" t="s">
        <v>219</v>
      </c>
      <c r="B39" s="13" t="n">
        <v>35</v>
      </c>
      <c r="C39" s="13" t="n">
        <v>60</v>
      </c>
      <c r="D39" s="17" t="n">
        <f aca="false">COUNTIFS('Niche Videos'!$E$2:$E$480,"&gt;="&amp;B39,'Niche Videos'!$E$2:$E$480,"&lt;"&amp;C39)</f>
        <v>104</v>
      </c>
      <c r="E39" s="21" t="n">
        <f aca="false" t="array" ref="E39:E39">IFERROR(MEDIAN(IF(('Niche Videos'!$E$2:$E$480&gt;=B39)*('Niche Videos'!$E$2:$E$480&lt;C39),'Niche Videos'!$F$2:$F$480)),"n/a")</f>
        <v>6955.5</v>
      </c>
      <c r="F39" s="17" t="n">
        <f aca="false">COUNTIFS('Niche Videos'!$E$2:$E$480,"&gt;="&amp;B39,'Niche Videos'!$E$2:$E$480,"&lt;"&amp;C39,'Niche Videos'!$K$2:$K$480,"yes")</f>
        <v>50</v>
      </c>
      <c r="G39" s="21" t="n">
        <f aca="false" t="array" ref="G39:G39">IFERROR(MEDIAN(IF(('Niche Videos'!$E$2:$E$480&gt;=B39)*('Niche Videos'!$E$2:$E$480&lt;C39)*('Niche Videos'!$K$2:$K$480="yes"),'Niche Videos'!$F$2:$F$480)),"n/a")</f>
        <v>7294</v>
      </c>
    </row>
    <row r="40" customFormat="false" ht="15" hidden="false" customHeight="false" outlineLevel="0" collapsed="false">
      <c r="A40" s="6" t="s">
        <v>220</v>
      </c>
      <c r="B40" s="13" t="n">
        <v>60</v>
      </c>
      <c r="C40" s="13" t="n">
        <v>100000</v>
      </c>
      <c r="D40" s="17" t="n">
        <f aca="false">COUNTIFS('Niche Videos'!$E$2:$E$480,"&gt;="&amp;B40,'Niche Videos'!$E$2:$E$480,"&lt;"&amp;C40)</f>
        <v>91</v>
      </c>
      <c r="E40" s="21" t="n">
        <f aca="false" t="array" ref="E40:E40">IFERROR(MEDIAN(IF(('Niche Videos'!$E$2:$E$480&gt;=B40)*('Niche Videos'!$E$2:$E$480&lt;C40),'Niche Videos'!$F$2:$F$480)),"n/a")</f>
        <v>11000</v>
      </c>
      <c r="F40" s="17" t="n">
        <f aca="false">COUNTIFS('Niche Videos'!$E$2:$E$480,"&gt;="&amp;B40,'Niche Videos'!$E$2:$E$480,"&lt;"&amp;C40,'Niche Videos'!$K$2:$K$480,"yes")</f>
        <v>39</v>
      </c>
      <c r="G40" s="21" t="n">
        <f aca="false" t="array" ref="G40:G40">IFERROR(MEDIAN(IF(('Niche Videos'!$E$2:$E$480&gt;=B40)*('Niche Videos'!$E$2:$E$480&lt;C40)*('Niche Videos'!$K$2:$K$480="yes"),'Niche Videos'!$F$2:$F$480)),"n/a")</f>
        <v>15600</v>
      </c>
    </row>
    <row r="41" customFormat="false" ht="15" hidden="false" customHeight="false" outlineLevel="0" collapsed="false">
      <c r="A41" s="2" t="s">
        <v>221</v>
      </c>
    </row>
    <row r="43" customFormat="false" ht="15" hidden="false" customHeight="false" outlineLevel="0" collapsed="false">
      <c r="A43" s="3" t="s">
        <v>222</v>
      </c>
      <c r="B43" s="3"/>
      <c r="C43" s="3"/>
      <c r="D43" s="3"/>
      <c r="E43" s="3"/>
      <c r="F43" s="3"/>
      <c r="G43" s="3"/>
    </row>
    <row r="44" customFormat="false" ht="15" hidden="false" customHeight="false" outlineLevel="0" collapsed="false">
      <c r="A44" s="4" t="s">
        <v>223</v>
      </c>
      <c r="B44" s="4" t="s">
        <v>85</v>
      </c>
      <c r="G44" s="4" t="s">
        <v>224</v>
      </c>
    </row>
    <row r="45" customFormat="false" ht="15" hidden="false" customHeight="false" outlineLevel="0" collapsed="false">
      <c r="A45" s="6" t="s">
        <v>225</v>
      </c>
      <c r="B45" s="6" t="s">
        <v>226</v>
      </c>
      <c r="G45" s="6" t="s">
        <v>227</v>
      </c>
    </row>
    <row r="46" customFormat="false" ht="15" hidden="false" customHeight="false" outlineLevel="0" collapsed="false">
      <c r="A46" s="6" t="s">
        <v>228</v>
      </c>
      <c r="B46" s="6" t="s">
        <v>229</v>
      </c>
      <c r="G46" s="6" t="s">
        <v>230</v>
      </c>
    </row>
    <row r="47" customFormat="false" ht="15" hidden="false" customHeight="false" outlineLevel="0" collapsed="false">
      <c r="A47" s="6" t="s">
        <v>231</v>
      </c>
      <c r="B47" s="6" t="s">
        <v>232</v>
      </c>
      <c r="G47" s="6" t="s">
        <v>233</v>
      </c>
    </row>
    <row r="48" customFormat="false" ht="15" hidden="false" customHeight="false" outlineLevel="0" collapsed="false">
      <c r="A48" s="6" t="s">
        <v>234</v>
      </c>
      <c r="B48" s="6" t="s">
        <v>235</v>
      </c>
      <c r="G48" s="6" t="s">
        <v>236</v>
      </c>
    </row>
    <row r="49" customFormat="false" ht="15" hidden="false" customHeight="false" outlineLevel="0" collapsed="false">
      <c r="A49" s="6" t="s">
        <v>237</v>
      </c>
      <c r="B49" s="6" t="s">
        <v>238</v>
      </c>
      <c r="G49" s="6" t="s">
        <v>239</v>
      </c>
    </row>
    <row r="50" customFormat="false" ht="15" hidden="false" customHeight="false" outlineLevel="0" collapsed="false">
      <c r="A50" s="6" t="s">
        <v>240</v>
      </c>
      <c r="B50" s="6" t="s">
        <v>241</v>
      </c>
      <c r="G50" s="6" t="s">
        <v>242</v>
      </c>
    </row>
    <row r="51" customFormat="false" ht="15" hidden="false" customHeight="false" outlineLevel="0" collapsed="false">
      <c r="A51" s="6" t="s">
        <v>243</v>
      </c>
      <c r="B51" s="6" t="s">
        <v>244</v>
      </c>
      <c r="G51" s="6" t="s">
        <v>245</v>
      </c>
    </row>
    <row r="53" customFormat="false" ht="15" hidden="false" customHeight="false" outlineLevel="0" collapsed="false">
      <c r="A53" s="3" t="s">
        <v>246</v>
      </c>
      <c r="B53" s="3"/>
      <c r="C53" s="3"/>
      <c r="D53" s="3"/>
      <c r="E53" s="3"/>
      <c r="F53" s="3"/>
      <c r="G53" s="3"/>
    </row>
    <row r="54" customFormat="false" ht="16.5" hidden="false" customHeight="true" outlineLevel="0" collapsed="false">
      <c r="A54" s="20" t="s">
        <v>247</v>
      </c>
      <c r="B54" s="20"/>
      <c r="C54" s="20"/>
      <c r="D54" s="20"/>
      <c r="E54" s="20"/>
      <c r="F54" s="20"/>
      <c r="G54" s="20"/>
    </row>
    <row r="55" customFormat="false" ht="16.5" hidden="false" customHeight="true" outlineLevel="0" collapsed="false">
      <c r="A55" s="20" t="s">
        <v>248</v>
      </c>
      <c r="B55" s="20"/>
      <c r="C55" s="20"/>
      <c r="D55" s="20"/>
      <c r="E55" s="20"/>
      <c r="F55" s="20"/>
      <c r="G55" s="20"/>
    </row>
    <row r="56" customFormat="false" ht="30" hidden="false" customHeight="true" outlineLevel="0" collapsed="false">
      <c r="A56" s="20" t="s">
        <v>249</v>
      </c>
      <c r="B56" s="20"/>
      <c r="C56" s="20"/>
      <c r="D56" s="20"/>
      <c r="E56" s="20"/>
      <c r="F56" s="20"/>
      <c r="G56" s="20"/>
    </row>
    <row r="57" customFormat="false" ht="16.5" hidden="false" customHeight="true" outlineLevel="0" collapsed="false">
      <c r="A57" s="20" t="s">
        <v>250</v>
      </c>
      <c r="B57" s="20"/>
      <c r="C57" s="20"/>
      <c r="D57" s="20"/>
      <c r="E57" s="20"/>
      <c r="F57" s="20"/>
      <c r="G57" s="20"/>
    </row>
    <row r="58" customFormat="false" ht="30" hidden="false" customHeight="true" outlineLevel="0" collapsed="false">
      <c r="A58" s="20" t="s">
        <v>251</v>
      </c>
      <c r="B58" s="20"/>
      <c r="C58" s="20"/>
      <c r="D58" s="20"/>
      <c r="E58" s="20"/>
      <c r="F58" s="20"/>
      <c r="G58" s="20"/>
    </row>
    <row r="59" customFormat="false" ht="16.5" hidden="false" customHeight="true" outlineLevel="0" collapsed="false">
      <c r="A59" s="20" t="s">
        <v>252</v>
      </c>
      <c r="B59" s="20"/>
      <c r="C59" s="20"/>
      <c r="D59" s="20"/>
      <c r="E59" s="20"/>
      <c r="F59" s="20"/>
      <c r="G59" s="20"/>
    </row>
    <row r="60" customFormat="false" ht="16.5" hidden="false" customHeight="true" outlineLevel="0" collapsed="false">
      <c r="A60" s="20" t="s">
        <v>253</v>
      </c>
      <c r="B60" s="20"/>
      <c r="C60" s="20"/>
      <c r="D60" s="20"/>
      <c r="E60" s="20"/>
      <c r="F60" s="20"/>
      <c r="G60" s="20"/>
    </row>
    <row r="61" customFormat="false" ht="16.5" hidden="false" customHeight="true" outlineLevel="0" collapsed="false">
      <c r="A61" s="20" t="s">
        <v>254</v>
      </c>
      <c r="B61" s="20"/>
      <c r="C61" s="20"/>
      <c r="D61" s="20"/>
      <c r="E61" s="20"/>
      <c r="F61" s="20"/>
      <c r="G61" s="20"/>
    </row>
    <row r="62" customFormat="false" ht="15" hidden="false" customHeight="false" outlineLevel="0" collapsed="false">
      <c r="A62" s="3" t="s">
        <v>255</v>
      </c>
      <c r="B62" s="3"/>
      <c r="C62" s="3"/>
      <c r="D62" s="3"/>
      <c r="E62" s="3"/>
      <c r="F62" s="3"/>
      <c r="G62" s="3"/>
    </row>
    <row r="63" customFormat="false" ht="23.85" hidden="false" customHeight="false" outlineLevel="0" collapsed="false">
      <c r="A63" s="4" t="s">
        <v>256</v>
      </c>
      <c r="B63" s="4" t="s">
        <v>257</v>
      </c>
    </row>
    <row r="64" customFormat="false" ht="15" hidden="false" customHeight="false" outlineLevel="0" collapsed="false">
      <c r="A64" s="6" t="s">
        <v>258</v>
      </c>
      <c r="B64" s="13" t="n">
        <v>17</v>
      </c>
    </row>
    <row r="65" customFormat="false" ht="15" hidden="false" customHeight="false" outlineLevel="0" collapsed="false">
      <c r="A65" s="6" t="s">
        <v>259</v>
      </c>
      <c r="B65" s="13" t="n">
        <v>17</v>
      </c>
    </row>
    <row r="66" customFormat="false" ht="15" hidden="false" customHeight="false" outlineLevel="0" collapsed="false">
      <c r="A66" s="6" t="s">
        <v>260</v>
      </c>
      <c r="B66" s="13" t="n">
        <v>11</v>
      </c>
    </row>
    <row r="67" customFormat="false" ht="15" hidden="false" customHeight="false" outlineLevel="0" collapsed="false">
      <c r="A67" s="6" t="s">
        <v>261</v>
      </c>
      <c r="B67" s="13" t="n">
        <v>10</v>
      </c>
    </row>
    <row r="68" customFormat="false" ht="15" hidden="false" customHeight="false" outlineLevel="0" collapsed="false">
      <c r="A68" s="6" t="s">
        <v>262</v>
      </c>
      <c r="B68" s="13" t="n">
        <v>9</v>
      </c>
    </row>
    <row r="69" customFormat="false" ht="15" hidden="false" customHeight="false" outlineLevel="0" collapsed="false">
      <c r="A69" s="6" t="s">
        <v>263</v>
      </c>
      <c r="B69" s="13" t="n">
        <v>8</v>
      </c>
    </row>
    <row r="70" customFormat="false" ht="15" hidden="false" customHeight="false" outlineLevel="0" collapsed="false">
      <c r="A70" s="6" t="s">
        <v>264</v>
      </c>
      <c r="B70" s="13" t="n">
        <v>8</v>
      </c>
    </row>
    <row r="71" customFormat="false" ht="15" hidden="false" customHeight="false" outlineLevel="0" collapsed="false">
      <c r="A71" s="6" t="s">
        <v>265</v>
      </c>
      <c r="B71" s="13" t="n">
        <v>7</v>
      </c>
    </row>
    <row r="72" customFormat="false" ht="15" hidden="false" customHeight="false" outlineLevel="0" collapsed="false">
      <c r="A72" s="6" t="s">
        <v>266</v>
      </c>
      <c r="B72" s="13" t="n">
        <v>6</v>
      </c>
    </row>
    <row r="73" customFormat="false" ht="15" hidden="false" customHeight="false" outlineLevel="0" collapsed="false">
      <c r="A73" s="6" t="s">
        <v>267</v>
      </c>
      <c r="B73" s="13" t="n">
        <v>5</v>
      </c>
    </row>
    <row r="74" customFormat="false" ht="15" hidden="false" customHeight="false" outlineLevel="0" collapsed="false">
      <c r="A74" s="6" t="s">
        <v>268</v>
      </c>
      <c r="B74" s="13" t="n">
        <v>5</v>
      </c>
    </row>
    <row r="75" customFormat="false" ht="15" hidden="false" customHeight="false" outlineLevel="0" collapsed="false">
      <c r="A75" s="6" t="s">
        <v>269</v>
      </c>
      <c r="B75" s="13" t="n">
        <v>5</v>
      </c>
    </row>
    <row r="76" customFormat="false" ht="15" hidden="false" customHeight="false" outlineLevel="0" collapsed="false">
      <c r="A76" s="6" t="s">
        <v>270</v>
      </c>
      <c r="B76" s="13" t="n">
        <v>5</v>
      </c>
    </row>
    <row r="77" customFormat="false" ht="15" hidden="false" customHeight="false" outlineLevel="0" collapsed="false">
      <c r="A77" s="6" t="s">
        <v>271</v>
      </c>
      <c r="B77" s="13" t="n">
        <v>5</v>
      </c>
    </row>
    <row r="78" customFormat="false" ht="15" hidden="false" customHeight="false" outlineLevel="0" collapsed="false">
      <c r="A78" s="6" t="s">
        <v>272</v>
      </c>
      <c r="B78" s="13" t="n">
        <v>5</v>
      </c>
    </row>
    <row r="79" customFormat="false" ht="15" hidden="false" customHeight="false" outlineLevel="0" collapsed="false">
      <c r="A79" s="6" t="s">
        <v>273</v>
      </c>
      <c r="B79" s="13" t="n">
        <v>5</v>
      </c>
    </row>
    <row r="80" customFormat="false" ht="15" hidden="false" customHeight="false" outlineLevel="0" collapsed="false">
      <c r="A80" s="6" t="s">
        <v>274</v>
      </c>
      <c r="B80" s="13" t="n">
        <v>4</v>
      </c>
    </row>
    <row r="81" customFormat="false" ht="15" hidden="false" customHeight="false" outlineLevel="0" collapsed="false">
      <c r="A81" s="6" t="s">
        <v>275</v>
      </c>
      <c r="B81" s="13" t="n">
        <v>4</v>
      </c>
    </row>
    <row r="82" customFormat="false" ht="15" hidden="false" customHeight="false" outlineLevel="0" collapsed="false">
      <c r="A82" s="6" t="s">
        <v>276</v>
      </c>
      <c r="B82" s="13" t="n">
        <v>4</v>
      </c>
    </row>
    <row r="83" customFormat="false" ht="15" hidden="false" customHeight="false" outlineLevel="0" collapsed="false">
      <c r="A83" s="6" t="s">
        <v>277</v>
      </c>
      <c r="B83" s="13" t="n">
        <v>4</v>
      </c>
    </row>
    <row r="84" customFormat="false" ht="15" hidden="false" customHeight="false" outlineLevel="0" collapsed="false">
      <c r="A84" s="6" t="s">
        <v>278</v>
      </c>
      <c r="B84" s="13" t="n">
        <v>3</v>
      </c>
    </row>
    <row r="85" customFormat="false" ht="15" hidden="false" customHeight="false" outlineLevel="0" collapsed="false">
      <c r="A85" s="6" t="s">
        <v>279</v>
      </c>
      <c r="B85" s="13" t="n">
        <v>3</v>
      </c>
    </row>
    <row r="86" customFormat="false" ht="15" hidden="false" customHeight="false" outlineLevel="0" collapsed="false">
      <c r="A86" s="2" t="s">
        <v>280</v>
      </c>
    </row>
  </sheetData>
  <mergeCells count="8">
    <mergeCell ref="A54:G54"/>
    <mergeCell ref="A55:G55"/>
    <mergeCell ref="A56:G56"/>
    <mergeCell ref="A57:G57"/>
    <mergeCell ref="A58:G58"/>
    <mergeCell ref="A59:G59"/>
    <mergeCell ref="A60:G60"/>
    <mergeCell ref="A61:G6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tru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3" min="3" style="0" width="30"/>
    <col collapsed="false" customWidth="true" hidden="false" outlineLevel="0" max="4" min="4" style="0" width="12"/>
    <col collapsed="false" customWidth="true" hidden="false" outlineLevel="0" max="6" min="5" style="0" width="14"/>
    <col collapsed="false" customWidth="true" hidden="false" outlineLevel="0" max="7" min="7" style="0" width="55"/>
  </cols>
  <sheetData>
    <row r="1" customFormat="false" ht="24" hidden="false" customHeight="true" outlineLevel="0" collapsed="false">
      <c r="A1" s="1" t="s">
        <v>281</v>
      </c>
    </row>
    <row r="2" customFormat="false" ht="15" hidden="false" customHeight="false" outlineLevel="0" collapsed="false">
      <c r="A2" s="2" t="s">
        <v>282</v>
      </c>
    </row>
    <row r="4" customFormat="false" ht="23.85" hidden="false" customHeight="false" outlineLevel="0" collapsed="false">
      <c r="A4" s="4" t="s">
        <v>283</v>
      </c>
      <c r="B4" s="4" t="s">
        <v>150</v>
      </c>
      <c r="C4" s="4" t="s">
        <v>284</v>
      </c>
      <c r="D4" s="4" t="s">
        <v>285</v>
      </c>
      <c r="E4" s="4" t="s">
        <v>188</v>
      </c>
      <c r="F4" s="4" t="s">
        <v>286</v>
      </c>
      <c r="G4" s="4" t="s">
        <v>287</v>
      </c>
    </row>
    <row r="5" customFormat="false" ht="23.85" hidden="false" customHeight="false" outlineLevel="0" collapsed="false">
      <c r="A5" s="6" t="s">
        <v>231</v>
      </c>
      <c r="B5" s="17" t="n">
        <f aca="false">IFERROR(INDEX('Niche Videos'!$C$2:$C$480,MATCH("proalumad",'Niche Videos'!$B$2:$B$480,0)),"n/a")</f>
        <v>602200</v>
      </c>
      <c r="C5" s="6" t="s">
        <v>288</v>
      </c>
      <c r="D5" s="19" t="n">
        <f aca="false">COUNTIF('Niche Videos'!$B$2:$B$480,"proalumad")</f>
        <v>7</v>
      </c>
      <c r="E5" s="21" t="n">
        <f aca="false" t="array" ref="E5:E5">IFERROR(MEDIAN(IF('Niche Videos'!$B$2:$B$480="proalumad",'Niche Videos'!$F$2:$F$480)),"n/a")</f>
        <v>1300000</v>
      </c>
      <c r="F5" s="21" t="n">
        <f aca="false" t="array" ref="F5:F5">IFERROR(MAX(IF('Niche Videos'!$B$2:$B$480="proalumad",'Niche Videos'!$F$2:$F$480)),"n/a")</f>
        <v>8300000</v>
      </c>
      <c r="G5" s="6" t="s">
        <v>289</v>
      </c>
    </row>
    <row r="6" customFormat="false" ht="15" hidden="false" customHeight="false" outlineLevel="0" collapsed="false">
      <c r="A6" s="6" t="s">
        <v>290</v>
      </c>
      <c r="B6" s="17" t="n">
        <f aca="false">IFERROR(INDEX('Niche Videos'!$C$2:$C$480,MATCH("alu.mamoune",'Niche Videos'!$B$2:$B$480,0)),"n/a")</f>
        <v>18100</v>
      </c>
      <c r="C6" s="6" t="s">
        <v>291</v>
      </c>
      <c r="D6" s="19" t="n">
        <f aca="false">COUNTIF('Niche Videos'!$B$2:$B$480,"alu.mamoune")</f>
        <v>4</v>
      </c>
      <c r="E6" s="21" t="n">
        <f aca="false" t="array" ref="E6:E6">IFERROR(MEDIAN(IF('Niche Videos'!$B$2:$B$480="alu.mamoune",'Niche Videos'!$F$2:$F$480)),"n/a")</f>
        <v>182200</v>
      </c>
      <c r="F6" s="21" t="n">
        <f aca="false" t="array" ref="F6:F6">IFERROR(MAX(IF('Niche Videos'!$B$2:$B$480="alu.mamoune",'Niche Videos'!$F$2:$F$480)),"n/a")</f>
        <v>1700000</v>
      </c>
      <c r="G6" s="6" t="s">
        <v>292</v>
      </c>
    </row>
    <row r="7" customFormat="false" ht="15" hidden="false" customHeight="false" outlineLevel="0" collapsed="false">
      <c r="A7" s="6" t="s">
        <v>293</v>
      </c>
      <c r="B7" s="17" t="n">
        <f aca="false">IFERROR(INDEX('Niche Videos'!$C$2:$C$480,MATCH("alocuisines",'Niche Videos'!$B$2:$B$480,0)),"n/a")</f>
        <v>47400</v>
      </c>
      <c r="C7" s="6" t="s">
        <v>291</v>
      </c>
      <c r="D7" s="19" t="n">
        <f aca="false">COUNTIF('Niche Videos'!$B$2:$B$480,"alocuisines")</f>
        <v>5</v>
      </c>
      <c r="E7" s="21" t="n">
        <f aca="false" t="array" ref="E7:E7">IFERROR(MEDIAN(IF('Niche Videos'!$B$2:$B$480="alocuisines",'Niche Videos'!$F$2:$F$480)),"n/a")</f>
        <v>45700</v>
      </c>
      <c r="F7" s="21" t="n">
        <f aca="false" t="array" ref="F7:F7">IFERROR(MAX(IF('Niche Videos'!$B$2:$B$480="alocuisines",'Niche Videos'!$F$2:$F$480)),"n/a")</f>
        <v>446300</v>
      </c>
      <c r="G7" s="6"/>
    </row>
    <row r="8" customFormat="false" ht="15" hidden="false" customHeight="false" outlineLevel="0" collapsed="false">
      <c r="A8" s="6" t="s">
        <v>294</v>
      </c>
      <c r="B8" s="17" t="n">
        <f aca="false">IFERROR(INDEX('Niche Videos'!$C$2:$C$480,MATCH("aluminium_oujaiou",'Niche Videos'!$B$2:$B$480,0)),"n/a")</f>
        <v>23700</v>
      </c>
      <c r="C8" s="6" t="s">
        <v>295</v>
      </c>
      <c r="D8" s="19" t="n">
        <f aca="false">COUNTIF('Niche Videos'!$B$2:$B$480,"aluminium_oujaiou")</f>
        <v>3</v>
      </c>
      <c r="E8" s="21" t="n">
        <f aca="false" t="array" ref="E8:E8">IFERROR(MEDIAN(IF('Niche Videos'!$B$2:$B$480="aluminium_oujaiou",'Niche Videos'!$F$2:$F$480)),"n/a")</f>
        <v>140600</v>
      </c>
      <c r="F8" s="21" t="n">
        <f aca="false" t="array" ref="F8:F8">IFERROR(MAX(IF('Niche Videos'!$B$2:$B$480="aluminium_oujaiou",'Niche Videos'!$F$2:$F$480)),"n/a")</f>
        <v>204000</v>
      </c>
      <c r="G8" s="6"/>
    </row>
    <row r="9" customFormat="false" ht="15" hidden="false" customHeight="false" outlineLevel="0" collapsed="false">
      <c r="A9" s="6" t="s">
        <v>296</v>
      </c>
      <c r="B9" s="17" t="n">
        <f aca="false">IFERROR(INDEX('Niche Videos'!$C$2:$C$480,MATCH("zaki.aluminiumpro",'Niche Videos'!$B$2:$B$480,0)),"n/a")</f>
        <v>12900</v>
      </c>
      <c r="C9" s="6" t="s">
        <v>297</v>
      </c>
      <c r="D9" s="19" t="n">
        <f aca="false">COUNTIF('Niche Videos'!$B$2:$B$480,"zaki.aluminiumpro")</f>
        <v>14</v>
      </c>
      <c r="E9" s="21" t="n">
        <f aca="false" t="array" ref="E9:E9">IFERROR(MEDIAN(IF('Niche Videos'!$B$2:$B$480="zaki.aluminiumpro",'Niche Videos'!$F$2:$F$480)),"n/a")</f>
        <v>18450</v>
      </c>
      <c r="F9" s="21" t="n">
        <f aca="false" t="array" ref="F9:F9">IFERROR(MAX(IF('Niche Videos'!$B$2:$B$480="zaki.aluminiumpro",'Niche Videos'!$F$2:$F$480)),"n/a")</f>
        <v>161600</v>
      </c>
      <c r="G9" s="6"/>
    </row>
    <row r="10" customFormat="false" ht="15" hidden="false" customHeight="false" outlineLevel="0" collapsed="false">
      <c r="A10" s="6" t="s">
        <v>298</v>
      </c>
      <c r="B10" s="17" t="n">
        <f aca="false">IFERROR(INDEX('Niche Videos'!$C$2:$C$480,MATCH("aluminooo",'Niche Videos'!$B$2:$B$480,0)),"n/a")</f>
        <v>74500</v>
      </c>
      <c r="C10" s="6" t="s">
        <v>299</v>
      </c>
      <c r="D10" s="19" t="n">
        <f aca="false">COUNTIF('Niche Videos'!$B$2:$B$480,"aluminooo")</f>
        <v>8</v>
      </c>
      <c r="E10" s="21" t="n">
        <f aca="false" t="array" ref="E10:E10">IFERROR(MEDIAN(IF('Niche Videos'!$B$2:$B$480="aluminooo",'Niche Videos'!$F$2:$F$480)),"n/a")</f>
        <v>5293</v>
      </c>
      <c r="F10" s="21" t="n">
        <f aca="false" t="array" ref="F10:F10">IFERROR(MAX(IF('Niche Videos'!$B$2:$B$480="aluminooo",'Niche Videos'!$F$2:$F$480)),"n/a")</f>
        <v>839000</v>
      </c>
      <c r="G10" s="6" t="s">
        <v>300</v>
      </c>
    </row>
    <row r="11" customFormat="false" ht="15" hidden="false" customHeight="false" outlineLevel="0" collapsed="false">
      <c r="A11" s="6" t="s">
        <v>301</v>
      </c>
      <c r="B11" s="17" t="n">
        <f aca="false">IFERROR(INDEX('Niche Videos'!$C$2:$C$480,MATCH("rm_accessoires1",'Niche Videos'!$B$2:$B$480,0)),"n/a")</f>
        <v>2282</v>
      </c>
      <c r="C11" s="6" t="s">
        <v>302</v>
      </c>
      <c r="D11" s="19" t="n">
        <f aca="false">COUNTIF('Niche Videos'!$B$2:$B$480,"rm_accessoires1")</f>
        <v>1</v>
      </c>
      <c r="E11" s="21" t="n">
        <f aca="false" t="array" ref="E11:E11">IFERROR(MEDIAN(IF('Niche Videos'!$B$2:$B$480="rm_accessoires1",'Niche Videos'!$F$2:$F$480)),"n/a")</f>
        <v>8317</v>
      </c>
      <c r="F11" s="21" t="n">
        <f aca="false" t="array" ref="F11:F11">IFERROR(MAX(IF('Niche Videos'!$B$2:$B$480="rm_accessoires1",'Niche Videos'!$F$2:$F$480)),"n/a")</f>
        <v>8317</v>
      </c>
      <c r="G11" s="6" t="s">
        <v>303</v>
      </c>
    </row>
    <row r="12" customFormat="false" ht="23.85" hidden="false" customHeight="false" outlineLevel="0" collapsed="false">
      <c r="A12" s="6" t="s">
        <v>304</v>
      </c>
      <c r="B12" s="17" t="n">
        <f aca="false">IFERROR(INDEX('Niche Videos'!$C$2:$C$480,MATCH("skymaxmaroc.ma",'Niche Videos'!$B$2:$B$480,0)),"n/a")</f>
        <v>3247</v>
      </c>
      <c r="C12" s="6" t="s">
        <v>305</v>
      </c>
      <c r="D12" s="19" t="n">
        <f aca="false">COUNTIF('Niche Videos'!$B$2:$B$480,"skymaxmaroc.ma")</f>
        <v>7</v>
      </c>
      <c r="E12" s="21" t="n">
        <f aca="false" t="array" ref="E12:E12">IFERROR(MEDIAN(IF('Niche Videos'!$B$2:$B$480="skymaxmaroc.ma",'Niche Videos'!$F$2:$F$480)),"n/a")</f>
        <v>1808</v>
      </c>
      <c r="F12" s="21" t="n">
        <f aca="false" t="array" ref="F12:F12">IFERROR(MAX(IF('Niche Videos'!$B$2:$B$480="skymaxmaroc.ma",'Niche Videos'!$F$2:$F$480)),"n/a")</f>
        <v>23700</v>
      </c>
      <c r="G12" s="6" t="s">
        <v>306</v>
      </c>
    </row>
    <row r="13" customFormat="false" ht="15" hidden="false" customHeight="false" outlineLevel="0" collapsed="false">
      <c r="A13" s="6" t="s">
        <v>307</v>
      </c>
      <c r="B13" s="17" t="n">
        <f aca="false">IFERROR(INDEX('Niche Videos'!$C$2:$C$480,MATCH("markglassoffciel",'Niche Videos'!$B$2:$B$480,0)),"n/a")</f>
        <v>12800</v>
      </c>
      <c r="C13" s="6" t="s">
        <v>308</v>
      </c>
      <c r="D13" s="19" t="n">
        <f aca="false">COUNTIF('Niche Videos'!$B$2:$B$480,"markglassoffciel")</f>
        <v>16</v>
      </c>
      <c r="E13" s="21" t="n">
        <f aca="false" t="array" ref="E13:E13">IFERROR(MEDIAN(IF('Niche Videos'!$B$2:$B$480="markglassoffciel",'Niche Videos'!$F$2:$F$480)),"n/a")</f>
        <v>2134</v>
      </c>
      <c r="F13" s="21" t="n">
        <f aca="false" t="array" ref="F13:F13">IFERROR(MAX(IF('Niche Videos'!$B$2:$B$480="markglassoffciel",'Niche Videos'!$F$2:$F$480)),"n/a")</f>
        <v>52300</v>
      </c>
      <c r="G13" s="6" t="s">
        <v>309</v>
      </c>
    </row>
    <row r="14" customFormat="false" ht="23.85" hidden="false" customHeight="false" outlineLevel="0" collapsed="false">
      <c r="A14" s="6" t="s">
        <v>310</v>
      </c>
      <c r="B14" s="17" t="n">
        <f aca="false">IFERROR(INDEX('Niche Videos'!$C$2:$C$480,MATCH("pukapergola",'Niche Videos'!$B$2:$B$480,0)),"n/a")</f>
        <v>18600</v>
      </c>
      <c r="C14" s="6" t="s">
        <v>311</v>
      </c>
      <c r="D14" s="19" t="n">
        <f aca="false">COUNTIF('Niche Videos'!$B$2:$B$480,"pukapergola")</f>
        <v>2</v>
      </c>
      <c r="E14" s="21" t="n">
        <f aca="false" t="array" ref="E14:E14">IFERROR(MEDIAN(IF('Niche Videos'!$B$2:$B$480="pukapergola",'Niche Videos'!$F$2:$F$480)),"n/a")</f>
        <v>10750</v>
      </c>
      <c r="F14" s="21" t="n">
        <f aca="false" t="array" ref="F14:F14">IFERROR(MAX(IF('Niche Videos'!$B$2:$B$480="pukapergola",'Niche Videos'!$F$2:$F$480)),"n/a")</f>
        <v>10900</v>
      </c>
      <c r="G14" s="6" t="s">
        <v>312</v>
      </c>
    </row>
    <row r="15" customFormat="false" ht="15" hidden="false" customHeight="false" outlineLevel="0" collapsed="false">
      <c r="A15" s="6" t="s">
        <v>313</v>
      </c>
      <c r="B15" s="17" t="n">
        <f aca="false">IFERROR(INDEX('Niche Videos'!$C$2:$C$480,MATCH("rofof.fes",'Niche Videos'!$B$2:$B$480,0)),"n/a")</f>
        <v>328</v>
      </c>
      <c r="C15" s="6" t="s">
        <v>314</v>
      </c>
      <c r="D15" s="19" t="n">
        <f aca="false">COUNTIF('Niche Videos'!$B$2:$B$480,"rofof.fes")</f>
        <v>1</v>
      </c>
      <c r="E15" s="21" t="n">
        <f aca="false" t="array" ref="E15:E15">IFERROR(MEDIAN(IF('Niche Videos'!$B$2:$B$480="rofof.fes",'Niche Videos'!$F$2:$F$480)),"n/a")</f>
        <v>17300</v>
      </c>
      <c r="F15" s="21" t="n">
        <f aca="false" t="array" ref="F15:F15">IFERROR(MAX(IF('Niche Videos'!$B$2:$B$480="rofof.fes",'Niche Videos'!$F$2:$F$480)),"n/a")</f>
        <v>17300</v>
      </c>
      <c r="G15" s="6" t="s">
        <v>315</v>
      </c>
    </row>
    <row r="16" customFormat="false" ht="15" hidden="false" customHeight="false" outlineLevel="0" collapsed="false">
      <c r="A16" s="6" t="s">
        <v>316</v>
      </c>
      <c r="B16" s="17" t="n">
        <f aca="false">IFERROR(INDEX('Niche Videos'!$C$2:$C$480,MATCH("rais48alum",'Niche Videos'!$B$2:$B$480,0)),"n/a")</f>
        <v>2768</v>
      </c>
      <c r="C16" s="6" t="s">
        <v>317</v>
      </c>
      <c r="D16" s="19" t="n">
        <f aca="false">COUNTIF('Niche Videos'!$B$2:$B$480,"rais48alum")</f>
        <v>3</v>
      </c>
      <c r="E16" s="21" t="n">
        <f aca="false" t="array" ref="E16:E16">IFERROR(MEDIAN(IF('Niche Videos'!$B$2:$B$480="rais48alum",'Niche Videos'!$F$2:$F$480)),"n/a")</f>
        <v>4874</v>
      </c>
      <c r="F16" s="21" t="n">
        <f aca="false" t="array" ref="F16:F16">IFERROR(MAX(IF('Niche Videos'!$B$2:$B$480="rais48alum",'Niche Videos'!$F$2:$F$480)),"n/a")</f>
        <v>5213</v>
      </c>
      <c r="G16" s="6"/>
    </row>
    <row r="17" customFormat="false" ht="15" hidden="false" customHeight="false" outlineLevel="0" collapsed="false">
      <c r="A17" s="6" t="s">
        <v>318</v>
      </c>
      <c r="B17" s="17" t="n">
        <f aca="false">IFERROR(INDEX('Niche Videos'!$C$2:$C$480,MATCH("aluminiumziyou",'Niche Videos'!$B$2:$B$480,0)),"n/a")</f>
        <v>139</v>
      </c>
      <c r="C17" s="6" t="s">
        <v>314</v>
      </c>
      <c r="D17" s="19" t="n">
        <f aca="false">COUNTIF('Niche Videos'!$B$2:$B$480,"aluminiumziyou")</f>
        <v>1</v>
      </c>
      <c r="E17" s="21" t="n">
        <f aca="false" t="array" ref="E17:E17">IFERROR(MEDIAN(IF('Niche Videos'!$B$2:$B$480="aluminiumziyou",'Niche Videos'!$F$2:$F$480)),"n/a")</f>
        <v>3125</v>
      </c>
      <c r="F17" s="21" t="n">
        <f aca="false" t="array" ref="F17:F17">IFERROR(MAX(IF('Niche Videos'!$B$2:$B$480="aluminiumziyou",'Niche Videos'!$F$2:$F$480)),"n/a")</f>
        <v>3125</v>
      </c>
      <c r="G17" s="6" t="s">
        <v>319</v>
      </c>
    </row>
    <row r="18" customFormat="false" ht="15" hidden="false" customHeight="false" outlineLevel="0" collapsed="false">
      <c r="A18" s="6" t="s">
        <v>320</v>
      </c>
      <c r="B18" s="17" t="n">
        <f aca="false">IFERROR(INDEX('Niche Videos'!$C$2:$C$480,MATCH("chinawindowsdoors",'Niche Videos'!$B$2:$B$480,0)),"n/a")</f>
        <v>206000</v>
      </c>
      <c r="C18" s="6" t="s">
        <v>321</v>
      </c>
      <c r="D18" s="19" t="n">
        <f aca="false">COUNTIF('Niche Videos'!$B$2:$B$480,"chinawindowsdoors")</f>
        <v>5</v>
      </c>
      <c r="E18" s="21" t="n">
        <f aca="false" t="array" ref="E18:E18">IFERROR(MEDIAN(IF('Niche Videos'!$B$2:$B$480="chinawindowsdoors",'Niche Videos'!$F$2:$F$480)),"n/a")</f>
        <v>2000000</v>
      </c>
      <c r="F18" s="21" t="n">
        <f aca="false" t="array" ref="F18:F18">IFERROR(MAX(IF('Niche Videos'!$B$2:$B$480="chinawindowsdoors",'Niche Videos'!$F$2:$F$480)),"n/a")</f>
        <v>9000000</v>
      </c>
      <c r="G18" s="6" t="s">
        <v>322</v>
      </c>
    </row>
    <row r="19" customFormat="false" ht="15" hidden="false" customHeight="false" outlineLevel="0" collapsed="false">
      <c r="A19" s="6" t="s">
        <v>323</v>
      </c>
      <c r="B19" s="17" t="n">
        <f aca="false">IFERROR(INDEX('Niche Videos'!$C$2:$C$480,MATCH("windowhome1",'Niche Videos'!$B$2:$B$480,0)),"n/a")</f>
        <v>208900</v>
      </c>
      <c r="C19" s="6" t="s">
        <v>321</v>
      </c>
      <c r="D19" s="19" t="n">
        <f aca="false">COUNTIF('Niche Videos'!$B$2:$B$480,"windowhome1")</f>
        <v>2</v>
      </c>
      <c r="E19" s="21" t="n">
        <f aca="false" t="array" ref="E19:E19">IFERROR(MEDIAN(IF('Niche Videos'!$B$2:$B$480="windowhome1",'Niche Videos'!$F$2:$F$480)),"n/a")</f>
        <v>3000000</v>
      </c>
      <c r="F19" s="21" t="n">
        <f aca="false" t="array" ref="F19:F19">IFERROR(MAX(IF('Niche Videos'!$B$2:$B$480="windowhome1",'Niche Videos'!$F$2:$F$480)),"n/a")</f>
        <v>3000000</v>
      </c>
      <c r="G19" s="6" t="s">
        <v>324</v>
      </c>
    </row>
    <row r="20" customFormat="false" ht="15" hidden="false" customHeight="false" outlineLevel="0" collapsed="false">
      <c r="A20" s="6" t="s">
        <v>325</v>
      </c>
      <c r="B20" s="17" t="n">
        <f aca="false">IFERROR(INDEX('Niche Videos'!$C$2:$C$480,MATCH("omy.window.and.door0",'Niche Videos'!$B$2:$B$480,0)),"n/a")</f>
        <v>16400</v>
      </c>
      <c r="C20" s="6" t="s">
        <v>321</v>
      </c>
      <c r="D20" s="19" t="n">
        <f aca="false">COUNTIF('Niche Videos'!$B$2:$B$480,"omy.window.and.door0")</f>
        <v>1</v>
      </c>
      <c r="E20" s="21" t="n">
        <f aca="false" t="array" ref="E20:E20">IFERROR(MEDIAN(IF('Niche Videos'!$B$2:$B$480="omy.window.and.door0",'Niche Videos'!$F$2:$F$480)),"n/a")</f>
        <v>3200000</v>
      </c>
      <c r="F20" s="21" t="n">
        <f aca="false" t="array" ref="F20:F20">IFERROR(MAX(IF('Niche Videos'!$B$2:$B$480="omy.window.and.door0",'Niche Videos'!$F$2:$F$480)),"n/a")</f>
        <v>3200000</v>
      </c>
      <c r="G20" s="6"/>
    </row>
    <row r="21" customFormat="false" ht="15" hidden="false" customHeight="false" outlineLevel="0" collapsed="false">
      <c r="A21" s="6" t="s">
        <v>326</v>
      </c>
      <c r="B21" s="17" t="n">
        <f aca="false">IFERROR(INDEX('Niche Videos'!$C$2:$C$480,MATCH("siddiquealuminumandglass",'Niche Videos'!$B$2:$B$480,0)),"n/a")</f>
        <v>12100</v>
      </c>
      <c r="C21" s="6" t="s">
        <v>321</v>
      </c>
      <c r="D21" s="19" t="n">
        <f aca="false">COUNTIF('Niche Videos'!$B$2:$B$480,"siddiquealuminumandglass")</f>
        <v>4</v>
      </c>
      <c r="E21" s="21" t="n">
        <f aca="false" t="array" ref="E21:E21">IFERROR(MEDIAN(IF('Niche Videos'!$B$2:$B$480="siddiquealuminumandglass",'Niche Videos'!$F$2:$F$480)),"n/a")</f>
        <v>147450</v>
      </c>
      <c r="F21" s="21" t="n">
        <f aca="false" t="array" ref="F21:F21">IFERROR(MAX(IF('Niche Videos'!$B$2:$B$480="siddiquealuminumandglass",'Niche Videos'!$F$2:$F$480)),"n/a")</f>
        <v>1800000</v>
      </c>
      <c r="G21" s="6" t="s">
        <v>327</v>
      </c>
    </row>
    <row r="23" customFormat="false" ht="15" hidden="false" customHeight="false" outlineLevel="0" collapsed="false">
      <c r="A23" s="3" t="s">
        <v>328</v>
      </c>
      <c r="B23" s="3"/>
      <c r="C23" s="3"/>
      <c r="D23" s="3"/>
      <c r="E23" s="3"/>
      <c r="F23" s="3"/>
      <c r="G23" s="3"/>
    </row>
    <row r="24" customFormat="false" ht="46.25" hidden="false" customHeight="false" outlineLevel="0" collapsed="false">
      <c r="A24" s="10" t="s">
        <v>329</v>
      </c>
    </row>
    <row r="25" customFormat="false" ht="16.5" hidden="false" customHeight="true" outlineLevel="0" collapsed="false">
      <c r="A25" s="20" t="s">
        <v>330</v>
      </c>
      <c r="B25" s="20"/>
      <c r="C25" s="20"/>
      <c r="D25" s="20"/>
      <c r="E25" s="20"/>
      <c r="F25" s="20"/>
      <c r="G25" s="20"/>
    </row>
    <row r="26" customFormat="false" ht="16.5" hidden="false" customHeight="true" outlineLevel="0" collapsed="false">
      <c r="A26" s="20" t="s">
        <v>331</v>
      </c>
      <c r="B26" s="20"/>
      <c r="C26" s="20"/>
      <c r="D26" s="20"/>
      <c r="E26" s="20"/>
      <c r="F26" s="20"/>
      <c r="G26" s="20"/>
    </row>
    <row r="27" customFormat="false" ht="16.5" hidden="false" customHeight="true" outlineLevel="0" collapsed="false">
      <c r="A27" s="20" t="s">
        <v>332</v>
      </c>
      <c r="B27" s="20"/>
      <c r="C27" s="20"/>
      <c r="D27" s="20"/>
      <c r="E27" s="20"/>
      <c r="F27" s="20"/>
      <c r="G27" s="20"/>
    </row>
    <row r="28" customFormat="false" ht="23.85" hidden="false" customHeight="false" outlineLevel="0" collapsed="false">
      <c r="A28" s="10" t="s">
        <v>333</v>
      </c>
    </row>
    <row r="29" customFormat="false" ht="15" hidden="false" customHeight="false" outlineLevel="0" collapsed="false">
      <c r="A29" s="4" t="s">
        <v>283</v>
      </c>
      <c r="B29" s="4" t="s">
        <v>150</v>
      </c>
      <c r="C29" s="4" t="s">
        <v>334</v>
      </c>
      <c r="G29" s="4" t="s">
        <v>335</v>
      </c>
    </row>
    <row r="30" customFormat="false" ht="23.85" hidden="false" customHeight="false" outlineLevel="0" collapsed="false">
      <c r="A30" s="6" t="s">
        <v>301</v>
      </c>
      <c r="B30" s="6" t="s">
        <v>336</v>
      </c>
      <c r="C30" s="6" t="s">
        <v>337</v>
      </c>
      <c r="G30" s="6" t="s">
        <v>338</v>
      </c>
    </row>
    <row r="31" customFormat="false" ht="23.85" hidden="false" customHeight="false" outlineLevel="0" collapsed="false">
      <c r="A31" s="6" t="s">
        <v>304</v>
      </c>
      <c r="B31" s="6" t="s">
        <v>339</v>
      </c>
      <c r="C31" s="6" t="s">
        <v>340</v>
      </c>
      <c r="G31" s="6" t="s">
        <v>341</v>
      </c>
    </row>
    <row r="32" customFormat="false" ht="23.85" hidden="false" customHeight="false" outlineLevel="0" collapsed="false">
      <c r="A32" s="6" t="s">
        <v>307</v>
      </c>
      <c r="B32" s="6" t="s">
        <v>342</v>
      </c>
      <c r="C32" s="6" t="s">
        <v>343</v>
      </c>
      <c r="G32" s="6" t="s">
        <v>344</v>
      </c>
    </row>
    <row r="33" customFormat="false" ht="35.05" hidden="false" customHeight="false" outlineLevel="0" collapsed="false">
      <c r="A33" s="6" t="s">
        <v>310</v>
      </c>
      <c r="B33" s="6" t="s">
        <v>345</v>
      </c>
      <c r="C33" s="6" t="s">
        <v>346</v>
      </c>
      <c r="G33" s="6" t="s">
        <v>347</v>
      </c>
    </row>
    <row r="35" customFormat="false" ht="35.05" hidden="false" customHeight="false" outlineLevel="0" collapsed="false">
      <c r="A35" s="10" t="s">
        <v>348</v>
      </c>
    </row>
    <row r="36" customFormat="false" ht="43.5" hidden="false" customHeight="true" outlineLevel="0" collapsed="false">
      <c r="A36" s="20" t="s">
        <v>349</v>
      </c>
      <c r="B36" s="20"/>
      <c r="C36" s="20"/>
      <c r="D36" s="20"/>
      <c r="E36" s="20"/>
      <c r="F36" s="20"/>
      <c r="G36" s="20"/>
    </row>
    <row r="37" customFormat="false" ht="23.85" hidden="false" customHeight="false" outlineLevel="0" collapsed="false">
      <c r="A37" s="10" t="s">
        <v>350</v>
      </c>
    </row>
    <row r="38" customFormat="false" ht="30" hidden="false" customHeight="true" outlineLevel="0" collapsed="false">
      <c r="A38" s="20" t="s">
        <v>351</v>
      </c>
      <c r="B38" s="20"/>
      <c r="C38" s="20"/>
      <c r="D38" s="20"/>
      <c r="E38" s="20"/>
      <c r="F38" s="20"/>
      <c r="G38" s="20"/>
    </row>
    <row r="39" customFormat="false" ht="23.85" hidden="false" customHeight="false" outlineLevel="0" collapsed="false">
      <c r="A39" s="10" t="s">
        <v>352</v>
      </c>
    </row>
    <row r="40" customFormat="false" ht="16.5" hidden="false" customHeight="true" outlineLevel="0" collapsed="false">
      <c r="A40" s="20" t="s">
        <v>353</v>
      </c>
      <c r="B40" s="20"/>
      <c r="C40" s="20"/>
      <c r="D40" s="20"/>
      <c r="E40" s="20"/>
      <c r="F40" s="20"/>
      <c r="G40" s="20"/>
    </row>
    <row r="41" customFormat="false" ht="16.5" hidden="false" customHeight="true" outlineLevel="0" collapsed="false">
      <c r="A41" s="20" t="s">
        <v>354</v>
      </c>
      <c r="B41" s="20"/>
      <c r="C41" s="20"/>
      <c r="D41" s="20"/>
      <c r="E41" s="20"/>
      <c r="F41" s="20"/>
      <c r="G41" s="20"/>
    </row>
    <row r="42" customFormat="false" ht="16.5" hidden="false" customHeight="true" outlineLevel="0" collapsed="false">
      <c r="A42" s="20" t="s">
        <v>355</v>
      </c>
      <c r="B42" s="20"/>
      <c r="C42" s="20"/>
      <c r="D42" s="20"/>
      <c r="E42" s="20"/>
      <c r="F42" s="20"/>
      <c r="G42" s="20"/>
    </row>
    <row r="43" customFormat="false" ht="16.5" hidden="false" customHeight="true" outlineLevel="0" collapsed="false">
      <c r="A43" s="20" t="s">
        <v>356</v>
      </c>
      <c r="B43" s="20"/>
      <c r="C43" s="20"/>
      <c r="D43" s="20"/>
      <c r="E43" s="20"/>
      <c r="F43" s="20"/>
      <c r="G43" s="20"/>
    </row>
    <row r="44" customFormat="false" ht="16.5" hidden="false" customHeight="true" outlineLevel="0" collapsed="false">
      <c r="A44" s="20" t="s">
        <v>357</v>
      </c>
      <c r="B44" s="20"/>
      <c r="C44" s="20"/>
      <c r="D44" s="20"/>
      <c r="E44" s="20"/>
      <c r="F44" s="20"/>
      <c r="G44" s="20"/>
    </row>
  </sheetData>
  <mergeCells count="10">
    <mergeCell ref="A25:G25"/>
    <mergeCell ref="A26:G26"/>
    <mergeCell ref="A27:G27"/>
    <mergeCell ref="A36:G36"/>
    <mergeCell ref="A38:G38"/>
    <mergeCell ref="A40:G40"/>
    <mergeCell ref="A41:G41"/>
    <mergeCell ref="A42:G42"/>
    <mergeCell ref="A43:G43"/>
    <mergeCell ref="A44:G4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0"/>
    <col collapsed="false" customWidth="true" hidden="false" outlineLevel="0" max="4" min="4" style="0" width="28"/>
    <col collapsed="false" customWidth="true" hidden="false" outlineLevel="0" max="5" min="5" style="0" width="42"/>
    <col collapsed="false" customWidth="true" hidden="false" outlineLevel="0" max="6" min="6" style="0" width="52"/>
    <col collapsed="false" customWidth="true" hidden="false" outlineLevel="0" max="7" min="7" style="0" width="11"/>
    <col collapsed="false" customWidth="true" hidden="false" outlineLevel="0" max="8" min="8" style="0" width="20"/>
    <col collapsed="false" customWidth="true" hidden="false" outlineLevel="0" max="9" min="9" style="0" width="28"/>
    <col collapsed="false" customWidth="true" hidden="false" outlineLevel="0" max="11" min="10" style="0" width="40"/>
    <col collapsed="false" customWidth="true" hidden="false" outlineLevel="0" max="12" min="12" style="0" width="36"/>
    <col collapsed="false" customWidth="true" hidden="false" outlineLevel="0" max="13" min="13" style="0" width="22"/>
  </cols>
  <sheetData>
    <row r="1" customFormat="false" ht="30" hidden="false" customHeight="true" outlineLevel="0" collapsed="false">
      <c r="A1" s="4" t="s">
        <v>358</v>
      </c>
      <c r="B1" s="4" t="s">
        <v>359</v>
      </c>
      <c r="C1" s="4" t="s">
        <v>360</v>
      </c>
      <c r="D1" s="4" t="s">
        <v>361</v>
      </c>
      <c r="E1" s="4" t="s">
        <v>362</v>
      </c>
      <c r="F1" s="4" t="s">
        <v>363</v>
      </c>
      <c r="G1" s="4" t="s">
        <v>364</v>
      </c>
      <c r="H1" s="4" t="s">
        <v>365</v>
      </c>
      <c r="I1" s="4" t="s">
        <v>366</v>
      </c>
      <c r="J1" s="4" t="s">
        <v>367</v>
      </c>
      <c r="K1" s="4" t="s">
        <v>368</v>
      </c>
      <c r="L1" s="4" t="s">
        <v>369</v>
      </c>
      <c r="M1" s="4" t="s">
        <v>370</v>
      </c>
    </row>
    <row r="2" customFormat="false" ht="57.45" hidden="false" customHeight="false" outlineLevel="0" collapsed="false">
      <c r="A2" s="23" t="n">
        <v>1</v>
      </c>
      <c r="B2" s="6" t="s">
        <v>371</v>
      </c>
      <c r="C2" s="24" t="s">
        <v>372</v>
      </c>
      <c r="D2" s="6"/>
      <c r="E2" s="6" t="s">
        <v>373</v>
      </c>
      <c r="F2" s="6" t="s">
        <v>374</v>
      </c>
      <c r="G2" s="6" t="s">
        <v>375</v>
      </c>
      <c r="H2" s="6" t="s">
        <v>376</v>
      </c>
      <c r="I2" s="6" t="s">
        <v>377</v>
      </c>
      <c r="J2" s="6" t="s">
        <v>378</v>
      </c>
      <c r="K2" s="6" t="s">
        <v>379</v>
      </c>
      <c r="L2" s="6"/>
      <c r="M2" s="6" t="s">
        <v>380</v>
      </c>
    </row>
    <row r="3" customFormat="false" ht="46.25" hidden="false" customHeight="false" outlineLevel="0" collapsed="false">
      <c r="A3" s="23" t="n">
        <v>2</v>
      </c>
      <c r="B3" s="6" t="s">
        <v>371</v>
      </c>
      <c r="C3" s="24" t="s">
        <v>381</v>
      </c>
      <c r="D3" s="6"/>
      <c r="E3" s="6" t="s">
        <v>382</v>
      </c>
      <c r="F3" s="6" t="s">
        <v>383</v>
      </c>
      <c r="G3" s="6" t="s">
        <v>384</v>
      </c>
      <c r="H3" s="6" t="s">
        <v>385</v>
      </c>
      <c r="I3" s="6" t="s">
        <v>386</v>
      </c>
      <c r="J3" s="6" t="s">
        <v>387</v>
      </c>
      <c r="K3" s="6" t="s">
        <v>388</v>
      </c>
      <c r="L3" s="6"/>
      <c r="M3" s="6" t="s">
        <v>380</v>
      </c>
    </row>
    <row r="4" customFormat="false" ht="46.25" hidden="false" customHeight="false" outlineLevel="0" collapsed="false">
      <c r="A4" s="23" t="n">
        <v>3</v>
      </c>
      <c r="B4" s="6" t="s">
        <v>371</v>
      </c>
      <c r="C4" s="24" t="s">
        <v>389</v>
      </c>
      <c r="D4" s="6"/>
      <c r="E4" s="6" t="s">
        <v>390</v>
      </c>
      <c r="F4" s="6" t="s">
        <v>391</v>
      </c>
      <c r="G4" s="6" t="s">
        <v>392</v>
      </c>
      <c r="H4" s="6" t="s">
        <v>393</v>
      </c>
      <c r="I4" s="6" t="s">
        <v>394</v>
      </c>
      <c r="J4" s="6" t="s">
        <v>395</v>
      </c>
      <c r="K4" s="6" t="s">
        <v>396</v>
      </c>
      <c r="L4" s="6"/>
      <c r="M4" s="6" t="s">
        <v>380</v>
      </c>
    </row>
    <row r="5" customFormat="false" ht="46.25" hidden="false" customHeight="false" outlineLevel="0" collapsed="false">
      <c r="A5" s="23" t="n">
        <v>4</v>
      </c>
      <c r="B5" s="6" t="s">
        <v>371</v>
      </c>
      <c r="C5" s="24" t="s">
        <v>397</v>
      </c>
      <c r="D5" s="6"/>
      <c r="E5" s="6" t="s">
        <v>398</v>
      </c>
      <c r="F5" s="6" t="s">
        <v>399</v>
      </c>
      <c r="G5" s="6" t="s">
        <v>375</v>
      </c>
      <c r="H5" s="6" t="s">
        <v>400</v>
      </c>
      <c r="I5" s="6" t="s">
        <v>401</v>
      </c>
      <c r="J5" s="6" t="s">
        <v>402</v>
      </c>
      <c r="K5" s="6" t="s">
        <v>403</v>
      </c>
      <c r="L5" s="6"/>
      <c r="M5" s="6" t="s">
        <v>380</v>
      </c>
    </row>
    <row r="6" customFormat="false" ht="57.45" hidden="false" customHeight="false" outlineLevel="0" collapsed="false">
      <c r="A6" s="23" t="n">
        <v>5</v>
      </c>
      <c r="B6" s="6" t="s">
        <v>404</v>
      </c>
      <c r="C6" s="24" t="s">
        <v>405</v>
      </c>
      <c r="D6" s="6" t="s">
        <v>406</v>
      </c>
      <c r="E6" s="6" t="s">
        <v>407</v>
      </c>
      <c r="F6" s="6" t="s">
        <v>408</v>
      </c>
      <c r="G6" s="6" t="s">
        <v>409</v>
      </c>
      <c r="H6" s="6" t="s">
        <v>410</v>
      </c>
      <c r="I6" s="6" t="s">
        <v>411</v>
      </c>
      <c r="J6" s="6" t="s">
        <v>412</v>
      </c>
      <c r="K6" s="6" t="s">
        <v>413</v>
      </c>
      <c r="L6" s="6"/>
      <c r="M6" s="6" t="s">
        <v>414</v>
      </c>
    </row>
    <row r="7" customFormat="false" ht="46.25" hidden="false" customHeight="false" outlineLevel="0" collapsed="false">
      <c r="A7" s="23" t="n">
        <v>6</v>
      </c>
      <c r="B7" s="6" t="s">
        <v>404</v>
      </c>
      <c r="C7" s="24" t="s">
        <v>415</v>
      </c>
      <c r="D7" s="6"/>
      <c r="E7" s="6" t="s">
        <v>416</v>
      </c>
      <c r="F7" s="6" t="s">
        <v>417</v>
      </c>
      <c r="G7" s="6" t="s">
        <v>418</v>
      </c>
      <c r="H7" s="6" t="s">
        <v>419</v>
      </c>
      <c r="I7" s="6" t="s">
        <v>420</v>
      </c>
      <c r="J7" s="6" t="s">
        <v>421</v>
      </c>
      <c r="K7" s="6" t="s">
        <v>422</v>
      </c>
      <c r="L7" s="6"/>
      <c r="M7" s="6" t="s">
        <v>414</v>
      </c>
    </row>
    <row r="8" customFormat="false" ht="46.25" hidden="false" customHeight="false" outlineLevel="0" collapsed="false">
      <c r="A8" s="23" t="n">
        <v>7</v>
      </c>
      <c r="B8" s="6" t="s">
        <v>404</v>
      </c>
      <c r="C8" s="24" t="s">
        <v>423</v>
      </c>
      <c r="D8" s="6"/>
      <c r="E8" s="6" t="s">
        <v>424</v>
      </c>
      <c r="F8" s="6" t="s">
        <v>425</v>
      </c>
      <c r="G8" s="6" t="s">
        <v>426</v>
      </c>
      <c r="H8" s="6" t="s">
        <v>427</v>
      </c>
      <c r="I8" s="6" t="s">
        <v>428</v>
      </c>
      <c r="J8" s="6" t="s">
        <v>429</v>
      </c>
      <c r="K8" s="6" t="s">
        <v>430</v>
      </c>
      <c r="L8" s="6"/>
      <c r="M8" s="6" t="s">
        <v>414</v>
      </c>
    </row>
    <row r="9" customFormat="false" ht="35.05" hidden="false" customHeight="false" outlineLevel="0" collapsed="false">
      <c r="A9" s="23" t="n">
        <v>8</v>
      </c>
      <c r="B9" s="6" t="s">
        <v>404</v>
      </c>
      <c r="C9" s="24" t="s">
        <v>431</v>
      </c>
      <c r="D9" s="6" t="s">
        <v>432</v>
      </c>
      <c r="E9" s="6" t="s">
        <v>433</v>
      </c>
      <c r="F9" s="6" t="s">
        <v>434</v>
      </c>
      <c r="G9" s="6" t="s">
        <v>435</v>
      </c>
      <c r="H9" s="6" t="s">
        <v>436</v>
      </c>
      <c r="I9" s="6" t="s">
        <v>437</v>
      </c>
      <c r="J9" s="6" t="s">
        <v>438</v>
      </c>
      <c r="K9" s="6" t="s">
        <v>439</v>
      </c>
      <c r="L9" s="6"/>
      <c r="M9" s="6" t="s">
        <v>414</v>
      </c>
    </row>
    <row r="10" customFormat="false" ht="35.05" hidden="false" customHeight="false" outlineLevel="0" collapsed="false">
      <c r="A10" s="23" t="n">
        <v>9</v>
      </c>
      <c r="B10" s="6" t="s">
        <v>440</v>
      </c>
      <c r="C10" s="24" t="s">
        <v>441</v>
      </c>
      <c r="D10" s="6"/>
      <c r="E10" s="6" t="s">
        <v>442</v>
      </c>
      <c r="F10" s="6" t="s">
        <v>443</v>
      </c>
      <c r="G10" s="6" t="s">
        <v>444</v>
      </c>
      <c r="H10" s="6" t="s">
        <v>445</v>
      </c>
      <c r="I10" s="6" t="s">
        <v>446</v>
      </c>
      <c r="J10" s="6" t="s">
        <v>447</v>
      </c>
      <c r="K10" s="6" t="s">
        <v>448</v>
      </c>
      <c r="L10" s="6" t="s">
        <v>449</v>
      </c>
      <c r="M10" s="6" t="s">
        <v>450</v>
      </c>
    </row>
    <row r="11" customFormat="false" ht="46.25" hidden="false" customHeight="false" outlineLevel="0" collapsed="false">
      <c r="A11" s="23" t="n">
        <v>10</v>
      </c>
      <c r="B11" s="6" t="s">
        <v>440</v>
      </c>
      <c r="C11" s="24" t="s">
        <v>451</v>
      </c>
      <c r="D11" s="6" t="s">
        <v>452</v>
      </c>
      <c r="E11" s="6" t="s">
        <v>453</v>
      </c>
      <c r="F11" s="6" t="s">
        <v>454</v>
      </c>
      <c r="G11" s="6" t="s">
        <v>455</v>
      </c>
      <c r="H11" s="6" t="s">
        <v>456</v>
      </c>
      <c r="I11" s="6" t="s">
        <v>428</v>
      </c>
      <c r="J11" s="6" t="s">
        <v>457</v>
      </c>
      <c r="K11" s="6" t="s">
        <v>458</v>
      </c>
      <c r="L11" s="6"/>
      <c r="M11" s="6" t="s">
        <v>450</v>
      </c>
    </row>
    <row r="12" customFormat="false" ht="35.05" hidden="false" customHeight="false" outlineLevel="0" collapsed="false">
      <c r="A12" s="23" t="n">
        <v>11</v>
      </c>
      <c r="B12" s="6" t="s">
        <v>440</v>
      </c>
      <c r="C12" s="24" t="s">
        <v>459</v>
      </c>
      <c r="D12" s="6"/>
      <c r="E12" s="6" t="s">
        <v>460</v>
      </c>
      <c r="F12" s="6" t="s">
        <v>461</v>
      </c>
      <c r="G12" s="6" t="s">
        <v>462</v>
      </c>
      <c r="H12" s="6" t="s">
        <v>400</v>
      </c>
      <c r="I12" s="6" t="s">
        <v>428</v>
      </c>
      <c r="J12" s="6" t="s">
        <v>463</v>
      </c>
      <c r="K12" s="6" t="s">
        <v>464</v>
      </c>
      <c r="L12" s="6"/>
      <c r="M12" s="6" t="s">
        <v>465</v>
      </c>
    </row>
    <row r="13" customFormat="false" ht="46.25" hidden="false" customHeight="false" outlineLevel="0" collapsed="false">
      <c r="A13" s="23" t="n">
        <v>12</v>
      </c>
      <c r="B13" s="6" t="s">
        <v>466</v>
      </c>
      <c r="C13" s="24" t="s">
        <v>467</v>
      </c>
      <c r="D13" s="6"/>
      <c r="E13" s="6" t="s">
        <v>468</v>
      </c>
      <c r="F13" s="6" t="s">
        <v>469</v>
      </c>
      <c r="G13" s="6" t="s">
        <v>470</v>
      </c>
      <c r="H13" s="6" t="s">
        <v>456</v>
      </c>
      <c r="I13" s="6" t="s">
        <v>471</v>
      </c>
      <c r="J13" s="6" t="s">
        <v>472</v>
      </c>
      <c r="K13" s="6" t="s">
        <v>473</v>
      </c>
      <c r="L13" s="6"/>
      <c r="M13" s="6" t="s">
        <v>380</v>
      </c>
    </row>
    <row r="14" customFormat="false" ht="35.05" hidden="false" customHeight="false" outlineLevel="0" collapsed="false">
      <c r="A14" s="23" t="n">
        <v>13</v>
      </c>
      <c r="B14" s="6" t="s">
        <v>466</v>
      </c>
      <c r="C14" s="24" t="s">
        <v>474</v>
      </c>
      <c r="D14" s="6" t="s">
        <v>475</v>
      </c>
      <c r="E14" s="6" t="s">
        <v>476</v>
      </c>
      <c r="F14" s="6" t="s">
        <v>477</v>
      </c>
      <c r="G14" s="6" t="s">
        <v>392</v>
      </c>
      <c r="H14" s="6" t="s">
        <v>456</v>
      </c>
      <c r="I14" s="6" t="s">
        <v>478</v>
      </c>
      <c r="J14" s="6" t="s">
        <v>479</v>
      </c>
      <c r="K14" s="6" t="s">
        <v>480</v>
      </c>
      <c r="L14" s="6"/>
      <c r="M14" s="6" t="s">
        <v>380</v>
      </c>
    </row>
    <row r="15" customFormat="false" ht="46.25" hidden="false" customHeight="false" outlineLevel="0" collapsed="false">
      <c r="A15" s="23" t="n">
        <v>14</v>
      </c>
      <c r="B15" s="6" t="s">
        <v>466</v>
      </c>
      <c r="C15" s="24" t="s">
        <v>481</v>
      </c>
      <c r="D15" s="6" t="s">
        <v>482</v>
      </c>
      <c r="E15" s="6" t="s">
        <v>483</v>
      </c>
      <c r="F15" s="6" t="s">
        <v>484</v>
      </c>
      <c r="G15" s="6" t="s">
        <v>485</v>
      </c>
      <c r="H15" s="6" t="s">
        <v>486</v>
      </c>
      <c r="I15" s="6" t="s">
        <v>428</v>
      </c>
      <c r="J15" s="6" t="s">
        <v>487</v>
      </c>
      <c r="K15" s="6" t="s">
        <v>488</v>
      </c>
      <c r="L15" s="6" t="s">
        <v>489</v>
      </c>
      <c r="M15" s="6" t="s">
        <v>490</v>
      </c>
    </row>
    <row r="16" customFormat="false" ht="57.45" hidden="false" customHeight="false" outlineLevel="0" collapsed="false">
      <c r="A16" s="23" t="n">
        <v>15</v>
      </c>
      <c r="B16" s="6" t="s">
        <v>491</v>
      </c>
      <c r="C16" s="24" t="s">
        <v>492</v>
      </c>
      <c r="D16" s="6"/>
      <c r="E16" s="6" t="s">
        <v>493</v>
      </c>
      <c r="F16" s="6" t="s">
        <v>494</v>
      </c>
      <c r="G16" s="6" t="s">
        <v>495</v>
      </c>
      <c r="H16" s="6" t="s">
        <v>456</v>
      </c>
      <c r="I16" s="6" t="s">
        <v>496</v>
      </c>
      <c r="J16" s="6" t="s">
        <v>497</v>
      </c>
      <c r="K16" s="6" t="s">
        <v>498</v>
      </c>
      <c r="L16" s="6"/>
      <c r="M16" s="6" t="s">
        <v>499</v>
      </c>
    </row>
    <row r="17" customFormat="false" ht="35.05" hidden="false" customHeight="false" outlineLevel="0" collapsed="false">
      <c r="A17" s="23" t="n">
        <v>16</v>
      </c>
      <c r="B17" s="6" t="s">
        <v>491</v>
      </c>
      <c r="C17" s="24" t="s">
        <v>500</v>
      </c>
      <c r="D17" s="6"/>
      <c r="E17" s="6" t="s">
        <v>501</v>
      </c>
      <c r="F17" s="6" t="s">
        <v>502</v>
      </c>
      <c r="G17" s="6" t="s">
        <v>503</v>
      </c>
      <c r="H17" s="6" t="s">
        <v>427</v>
      </c>
      <c r="I17" s="6" t="s">
        <v>504</v>
      </c>
      <c r="J17" s="6" t="s">
        <v>505</v>
      </c>
      <c r="K17" s="6" t="s">
        <v>506</v>
      </c>
      <c r="L17" s="6"/>
      <c r="M17" s="6" t="s">
        <v>499</v>
      </c>
    </row>
    <row r="18" customFormat="false" ht="35.05" hidden="false" customHeight="false" outlineLevel="0" collapsed="false">
      <c r="A18" s="23" t="n">
        <v>17</v>
      </c>
      <c r="B18" s="6" t="s">
        <v>507</v>
      </c>
      <c r="C18" s="24" t="s">
        <v>508</v>
      </c>
      <c r="D18" s="6"/>
      <c r="E18" s="6" t="s">
        <v>509</v>
      </c>
      <c r="F18" s="6" t="s">
        <v>510</v>
      </c>
      <c r="G18" s="6" t="s">
        <v>511</v>
      </c>
      <c r="H18" s="6" t="s">
        <v>512</v>
      </c>
      <c r="I18" s="6" t="s">
        <v>513</v>
      </c>
      <c r="J18" s="6" t="s">
        <v>514</v>
      </c>
      <c r="K18" s="6" t="s">
        <v>515</v>
      </c>
      <c r="L18" s="6"/>
      <c r="M18" s="6" t="s">
        <v>516</v>
      </c>
    </row>
    <row r="19" customFormat="false" ht="35.05" hidden="false" customHeight="false" outlineLevel="0" collapsed="false">
      <c r="A19" s="23" t="n">
        <v>18</v>
      </c>
      <c r="B19" s="6" t="s">
        <v>507</v>
      </c>
      <c r="C19" s="24" t="s">
        <v>517</v>
      </c>
      <c r="D19" s="6"/>
      <c r="E19" s="6" t="s">
        <v>518</v>
      </c>
      <c r="F19" s="6" t="s">
        <v>519</v>
      </c>
      <c r="G19" s="6" t="s">
        <v>520</v>
      </c>
      <c r="H19" s="6" t="s">
        <v>521</v>
      </c>
      <c r="I19" s="6" t="s">
        <v>522</v>
      </c>
      <c r="J19" s="6" t="s">
        <v>523</v>
      </c>
      <c r="K19" s="6" t="s">
        <v>524</v>
      </c>
      <c r="L19" s="6"/>
      <c r="M19" s="6" t="s">
        <v>516</v>
      </c>
    </row>
    <row r="20" customFormat="false" ht="35.05" hidden="false" customHeight="false" outlineLevel="0" collapsed="false">
      <c r="A20" s="23" t="n">
        <v>19</v>
      </c>
      <c r="B20" s="6" t="s">
        <v>507</v>
      </c>
      <c r="C20" s="24" t="s">
        <v>525</v>
      </c>
      <c r="D20" s="6"/>
      <c r="E20" s="6" t="s">
        <v>526</v>
      </c>
      <c r="F20" s="6" t="s">
        <v>527</v>
      </c>
      <c r="G20" s="6" t="s">
        <v>528</v>
      </c>
      <c r="H20" s="6" t="s">
        <v>529</v>
      </c>
      <c r="I20" s="6" t="s">
        <v>530</v>
      </c>
      <c r="J20" s="6" t="s">
        <v>531</v>
      </c>
      <c r="K20" s="6" t="s">
        <v>532</v>
      </c>
      <c r="L20" s="6"/>
      <c r="M20" s="6" t="s">
        <v>414</v>
      </c>
    </row>
    <row r="21" customFormat="false" ht="46.25" hidden="false" customHeight="false" outlineLevel="0" collapsed="false">
      <c r="A21" s="23" t="n">
        <v>20</v>
      </c>
      <c r="B21" s="6" t="s">
        <v>507</v>
      </c>
      <c r="C21" s="24" t="s">
        <v>533</v>
      </c>
      <c r="D21" s="6" t="s">
        <v>534</v>
      </c>
      <c r="E21" s="6" t="s">
        <v>535</v>
      </c>
      <c r="F21" s="6" t="s">
        <v>536</v>
      </c>
      <c r="G21" s="6" t="s">
        <v>537</v>
      </c>
      <c r="H21" s="6" t="s">
        <v>538</v>
      </c>
      <c r="I21" s="6" t="s">
        <v>539</v>
      </c>
      <c r="J21" s="6" t="s">
        <v>540</v>
      </c>
      <c r="K21" s="6" t="s">
        <v>541</v>
      </c>
      <c r="L21" s="6"/>
      <c r="M21" s="6" t="s">
        <v>414</v>
      </c>
    </row>
    <row r="23" customFormat="false" ht="15" hidden="false" customHeight="false" outlineLevel="0" collapsed="false">
      <c r="A23" s="3" t="s">
        <v>542</v>
      </c>
      <c r="B23" s="3"/>
      <c r="C23" s="3"/>
      <c r="D23" s="3"/>
      <c r="E23" s="3"/>
      <c r="F23" s="3"/>
      <c r="G23" s="3"/>
      <c r="H23" s="3"/>
      <c r="I23" s="3"/>
      <c r="J23" s="3"/>
      <c r="K23" s="3"/>
      <c r="L23" s="3"/>
      <c r="M23" s="3"/>
    </row>
    <row r="24" customFormat="false" ht="16.5" hidden="false" customHeight="true" outlineLevel="0" collapsed="false">
      <c r="B24" s="20" t="s">
        <v>543</v>
      </c>
      <c r="C24" s="20"/>
      <c r="D24" s="20"/>
      <c r="E24" s="20"/>
      <c r="F24" s="20"/>
    </row>
    <row r="25" customFormat="false" ht="16.5" hidden="false" customHeight="true" outlineLevel="0" collapsed="false">
      <c r="B25" s="20" t="s">
        <v>544</v>
      </c>
      <c r="C25" s="20"/>
      <c r="D25" s="20"/>
      <c r="E25" s="20"/>
      <c r="F25" s="20"/>
    </row>
    <row r="26" customFormat="false" ht="16.5" hidden="false" customHeight="true" outlineLevel="0" collapsed="false">
      <c r="B26" s="20" t="s">
        <v>545</v>
      </c>
      <c r="C26" s="20"/>
      <c r="D26" s="20"/>
      <c r="E26" s="20"/>
      <c r="F26" s="20"/>
    </row>
    <row r="27" customFormat="false" ht="16.5" hidden="false" customHeight="true" outlineLevel="0" collapsed="false">
      <c r="B27" s="20" t="s">
        <v>546</v>
      </c>
      <c r="C27" s="20"/>
      <c r="D27" s="20"/>
      <c r="E27" s="20"/>
      <c r="F27" s="20"/>
    </row>
    <row r="28" customFormat="false" ht="16.5" hidden="false" customHeight="true" outlineLevel="0" collapsed="false">
      <c r="B28" s="20" t="s">
        <v>547</v>
      </c>
      <c r="C28" s="20"/>
      <c r="D28" s="20"/>
      <c r="E28" s="20"/>
      <c r="F28" s="20"/>
    </row>
    <row r="29" customFormat="false" ht="16.5" hidden="false" customHeight="true" outlineLevel="0" collapsed="false">
      <c r="B29" s="20" t="s">
        <v>548</v>
      </c>
      <c r="C29" s="20"/>
      <c r="D29" s="20"/>
      <c r="E29" s="20"/>
      <c r="F29" s="20"/>
    </row>
  </sheetData>
  <autoFilter ref="A1:M21"/>
  <mergeCells count="6">
    <mergeCell ref="B24:F24"/>
    <mergeCell ref="B25:F25"/>
    <mergeCell ref="B26:F26"/>
    <mergeCell ref="B27:F27"/>
    <mergeCell ref="B28:F28"/>
    <mergeCell ref="B29:F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Q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0"/>
    <col collapsed="false" customWidth="true" hidden="false" outlineLevel="0" max="4" min="4" style="0" width="10"/>
    <col collapsed="false" customWidth="true" hidden="false" outlineLevel="0" max="5" min="5" style="0" width="18"/>
    <col collapsed="false" customWidth="true" hidden="false" outlineLevel="0" max="6" min="6" style="0" width="28"/>
    <col collapsed="false" customWidth="true" hidden="false" outlineLevel="0" max="7" min="7" style="0" width="34"/>
    <col collapsed="false" customWidth="true" hidden="false" outlineLevel="0" max="8" min="8" style="0" width="40"/>
    <col collapsed="false" customWidth="true" hidden="false" outlineLevel="0" max="9" min="9" style="0" width="44"/>
    <col collapsed="false" customWidth="true" hidden="false" outlineLevel="0" max="10" min="10" style="0" width="34"/>
    <col collapsed="false" customWidth="true" hidden="false" outlineLevel="0" max="11" min="11" style="0" width="30"/>
    <col collapsed="false" customWidth="true" hidden="false" outlineLevel="0" max="12" min="12" style="0" width="28"/>
    <col collapsed="false" customWidth="true" hidden="false" outlineLevel="0" max="13" min="13" style="0" width="34"/>
    <col collapsed="false" customWidth="true" hidden="false" outlineLevel="0" max="14" min="14" style="0" width="36"/>
    <col collapsed="false" customWidth="true" hidden="false" outlineLevel="0" max="15" min="15" style="0" width="38"/>
    <col collapsed="false" customWidth="true" hidden="false" outlineLevel="0" max="16" min="16" style="0" width="30"/>
    <col collapsed="false" customWidth="true" hidden="false" outlineLevel="0" max="17" min="17" style="0" width="44"/>
  </cols>
  <sheetData>
    <row r="1" customFormat="false" ht="30" hidden="false" customHeight="true" outlineLevel="0" collapsed="false">
      <c r="A1" s="4" t="s">
        <v>358</v>
      </c>
      <c r="B1" s="4" t="s">
        <v>360</v>
      </c>
      <c r="C1" s="4" t="s">
        <v>359</v>
      </c>
      <c r="D1" s="4" t="s">
        <v>364</v>
      </c>
      <c r="E1" s="4" t="s">
        <v>365</v>
      </c>
      <c r="F1" s="4" t="s">
        <v>549</v>
      </c>
      <c r="G1" s="4" t="s">
        <v>550</v>
      </c>
      <c r="H1" s="4" t="s">
        <v>551</v>
      </c>
      <c r="I1" s="4" t="s">
        <v>552</v>
      </c>
      <c r="J1" s="4" t="s">
        <v>553</v>
      </c>
      <c r="K1" s="4" t="s">
        <v>554</v>
      </c>
      <c r="L1" s="4" t="s">
        <v>555</v>
      </c>
      <c r="M1" s="4" t="s">
        <v>556</v>
      </c>
      <c r="N1" s="4" t="s">
        <v>557</v>
      </c>
      <c r="O1" s="4" t="s">
        <v>558</v>
      </c>
      <c r="P1" s="4" t="s">
        <v>559</v>
      </c>
      <c r="Q1" s="4" t="s">
        <v>560</v>
      </c>
    </row>
    <row r="2" customFormat="false" ht="68.65" hidden="false" customHeight="false" outlineLevel="0" collapsed="false">
      <c r="A2" s="23" t="n">
        <v>1</v>
      </c>
      <c r="B2" s="24" t="s">
        <v>372</v>
      </c>
      <c r="C2" s="6" t="s">
        <v>371</v>
      </c>
      <c r="D2" s="6" t="s">
        <v>375</v>
      </c>
      <c r="E2" s="6" t="s">
        <v>376</v>
      </c>
      <c r="F2" s="6" t="s">
        <v>377</v>
      </c>
      <c r="G2" s="6" t="s">
        <v>561</v>
      </c>
      <c r="H2" s="6" t="s">
        <v>562</v>
      </c>
      <c r="I2" s="6" t="s">
        <v>563</v>
      </c>
      <c r="J2" s="6" t="s">
        <v>564</v>
      </c>
      <c r="K2" s="6" t="s">
        <v>565</v>
      </c>
      <c r="L2" s="6" t="s">
        <v>566</v>
      </c>
      <c r="M2" s="6" t="s">
        <v>567</v>
      </c>
      <c r="N2" s="6" t="s">
        <v>568</v>
      </c>
      <c r="O2" s="6" t="s">
        <v>569</v>
      </c>
      <c r="P2" s="6" t="s">
        <v>570</v>
      </c>
      <c r="Q2" s="6"/>
    </row>
    <row r="3" customFormat="false" ht="46.25" hidden="false" customHeight="false" outlineLevel="0" collapsed="false">
      <c r="A3" s="23" t="n">
        <v>2</v>
      </c>
      <c r="B3" s="24" t="s">
        <v>381</v>
      </c>
      <c r="C3" s="6" t="s">
        <v>371</v>
      </c>
      <c r="D3" s="6" t="s">
        <v>384</v>
      </c>
      <c r="E3" s="6" t="s">
        <v>385</v>
      </c>
      <c r="F3" s="6" t="s">
        <v>386</v>
      </c>
      <c r="G3" s="6" t="s">
        <v>571</v>
      </c>
      <c r="H3" s="6" t="s">
        <v>572</v>
      </c>
      <c r="I3" s="6" t="s">
        <v>573</v>
      </c>
      <c r="J3" s="6" t="s">
        <v>574</v>
      </c>
      <c r="K3" s="6" t="s">
        <v>575</v>
      </c>
      <c r="L3" s="6" t="s">
        <v>576</v>
      </c>
      <c r="M3" s="6" t="s">
        <v>577</v>
      </c>
      <c r="N3" s="6" t="s">
        <v>578</v>
      </c>
      <c r="O3" s="6" t="s">
        <v>579</v>
      </c>
      <c r="P3" s="6" t="s">
        <v>580</v>
      </c>
      <c r="Q3" s="6"/>
    </row>
    <row r="4" customFormat="false" ht="46.25" hidden="false" customHeight="false" outlineLevel="0" collapsed="false">
      <c r="A4" s="23" t="n">
        <v>3</v>
      </c>
      <c r="B4" s="24" t="s">
        <v>389</v>
      </c>
      <c r="C4" s="6" t="s">
        <v>371</v>
      </c>
      <c r="D4" s="6" t="s">
        <v>392</v>
      </c>
      <c r="E4" s="6" t="s">
        <v>393</v>
      </c>
      <c r="F4" s="6" t="s">
        <v>394</v>
      </c>
      <c r="G4" s="6" t="s">
        <v>581</v>
      </c>
      <c r="H4" s="6" t="s">
        <v>582</v>
      </c>
      <c r="I4" s="6" t="s">
        <v>390</v>
      </c>
      <c r="J4" s="6"/>
      <c r="K4" s="6" t="s">
        <v>583</v>
      </c>
      <c r="L4" s="6" t="s">
        <v>584</v>
      </c>
      <c r="M4" s="6" t="s">
        <v>585</v>
      </c>
      <c r="N4" s="6" t="s">
        <v>586</v>
      </c>
      <c r="O4" s="6" t="s">
        <v>587</v>
      </c>
      <c r="P4" s="6" t="s">
        <v>588</v>
      </c>
      <c r="Q4" s="6"/>
    </row>
    <row r="5" customFormat="false" ht="35.05" hidden="false" customHeight="false" outlineLevel="0" collapsed="false">
      <c r="A5" s="23" t="n">
        <v>4</v>
      </c>
      <c r="B5" s="24" t="s">
        <v>397</v>
      </c>
      <c r="C5" s="6" t="s">
        <v>371</v>
      </c>
      <c r="D5" s="6" t="s">
        <v>375</v>
      </c>
      <c r="E5" s="6" t="s">
        <v>400</v>
      </c>
      <c r="F5" s="6" t="s">
        <v>401</v>
      </c>
      <c r="G5" s="6" t="s">
        <v>589</v>
      </c>
      <c r="H5" s="6" t="s">
        <v>590</v>
      </c>
      <c r="I5" s="6" t="s">
        <v>591</v>
      </c>
      <c r="J5" s="6"/>
      <c r="K5" s="6" t="s">
        <v>592</v>
      </c>
      <c r="L5" s="6" t="s">
        <v>593</v>
      </c>
      <c r="M5" s="6" t="s">
        <v>594</v>
      </c>
      <c r="N5" s="6" t="s">
        <v>595</v>
      </c>
      <c r="O5" s="6" t="s">
        <v>596</v>
      </c>
      <c r="P5" s="6" t="s">
        <v>597</v>
      </c>
      <c r="Q5" s="6"/>
    </row>
    <row r="6" customFormat="false" ht="147" hidden="false" customHeight="false" outlineLevel="0" collapsed="false">
      <c r="A6" s="23" t="n">
        <v>5</v>
      </c>
      <c r="B6" s="24" t="s">
        <v>405</v>
      </c>
      <c r="C6" s="6" t="s">
        <v>404</v>
      </c>
      <c r="D6" s="6" t="s">
        <v>409</v>
      </c>
      <c r="E6" s="6" t="s">
        <v>410</v>
      </c>
      <c r="F6" s="6" t="s">
        <v>411</v>
      </c>
      <c r="G6" s="6" t="s">
        <v>598</v>
      </c>
      <c r="H6" s="6" t="s">
        <v>599</v>
      </c>
      <c r="I6" s="6" t="s">
        <v>600</v>
      </c>
      <c r="J6" s="6"/>
      <c r="K6" s="6" t="s">
        <v>601</v>
      </c>
      <c r="L6" s="6" t="s">
        <v>602</v>
      </c>
      <c r="M6" s="6" t="s">
        <v>603</v>
      </c>
      <c r="N6" s="6" t="s">
        <v>604</v>
      </c>
      <c r="O6" s="6" t="s">
        <v>605</v>
      </c>
      <c r="P6" s="6" t="s">
        <v>606</v>
      </c>
      <c r="Q6" s="6" t="s">
        <v>607</v>
      </c>
    </row>
    <row r="7" customFormat="false" ht="35.05" hidden="false" customHeight="false" outlineLevel="0" collapsed="false">
      <c r="A7" s="23" t="n">
        <v>6</v>
      </c>
      <c r="B7" s="24" t="s">
        <v>415</v>
      </c>
      <c r="C7" s="6" t="s">
        <v>404</v>
      </c>
      <c r="D7" s="6" t="s">
        <v>418</v>
      </c>
      <c r="E7" s="6" t="s">
        <v>419</v>
      </c>
      <c r="F7" s="6" t="s">
        <v>420</v>
      </c>
      <c r="G7" s="6" t="s">
        <v>608</v>
      </c>
      <c r="H7" s="6" t="s">
        <v>609</v>
      </c>
      <c r="I7" s="6" t="s">
        <v>610</v>
      </c>
      <c r="J7" s="6"/>
      <c r="K7" s="6" t="s">
        <v>611</v>
      </c>
      <c r="L7" s="6" t="s">
        <v>612</v>
      </c>
      <c r="M7" s="6" t="s">
        <v>613</v>
      </c>
      <c r="N7" s="6" t="s">
        <v>614</v>
      </c>
      <c r="O7" s="6" t="s">
        <v>615</v>
      </c>
      <c r="P7" s="6" t="s">
        <v>616</v>
      </c>
      <c r="Q7" s="6"/>
    </row>
    <row r="8" customFormat="false" ht="35.05" hidden="false" customHeight="false" outlineLevel="0" collapsed="false">
      <c r="A8" s="23" t="n">
        <v>7</v>
      </c>
      <c r="B8" s="24" t="s">
        <v>423</v>
      </c>
      <c r="C8" s="6" t="s">
        <v>404</v>
      </c>
      <c r="D8" s="6" t="s">
        <v>426</v>
      </c>
      <c r="E8" s="6" t="s">
        <v>427</v>
      </c>
      <c r="F8" s="6" t="s">
        <v>428</v>
      </c>
      <c r="G8" s="6"/>
      <c r="H8" s="6" t="s">
        <v>617</v>
      </c>
      <c r="I8" s="6" t="s">
        <v>618</v>
      </c>
      <c r="J8" s="6" t="s">
        <v>619</v>
      </c>
      <c r="K8" s="6" t="s">
        <v>620</v>
      </c>
      <c r="L8" s="6" t="s">
        <v>621</v>
      </c>
      <c r="M8" s="6" t="s">
        <v>622</v>
      </c>
      <c r="N8" s="6" t="s">
        <v>623</v>
      </c>
      <c r="O8" s="6" t="s">
        <v>624</v>
      </c>
      <c r="P8" s="6" t="s">
        <v>625</v>
      </c>
      <c r="Q8" s="6"/>
    </row>
    <row r="9" customFormat="false" ht="46.25" hidden="false" customHeight="false" outlineLevel="0" collapsed="false">
      <c r="A9" s="23" t="n">
        <v>8</v>
      </c>
      <c r="B9" s="24" t="s">
        <v>431</v>
      </c>
      <c r="C9" s="6" t="s">
        <v>404</v>
      </c>
      <c r="D9" s="6" t="s">
        <v>435</v>
      </c>
      <c r="E9" s="6" t="s">
        <v>436</v>
      </c>
      <c r="F9" s="6" t="s">
        <v>437</v>
      </c>
      <c r="G9" s="6" t="s">
        <v>626</v>
      </c>
      <c r="H9" s="6"/>
      <c r="I9" s="6" t="s">
        <v>627</v>
      </c>
      <c r="J9" s="6"/>
      <c r="K9" s="6" t="s">
        <v>628</v>
      </c>
      <c r="L9" s="6" t="s">
        <v>629</v>
      </c>
      <c r="M9" s="6" t="s">
        <v>630</v>
      </c>
      <c r="N9" s="6" t="s">
        <v>631</v>
      </c>
      <c r="O9" s="6" t="s">
        <v>632</v>
      </c>
      <c r="P9" s="6" t="s">
        <v>633</v>
      </c>
      <c r="Q9" s="6"/>
    </row>
    <row r="10" customFormat="false" ht="57.45" hidden="false" customHeight="false" outlineLevel="0" collapsed="false">
      <c r="A10" s="23" t="n">
        <v>9</v>
      </c>
      <c r="B10" s="24" t="s">
        <v>441</v>
      </c>
      <c r="C10" s="6" t="s">
        <v>440</v>
      </c>
      <c r="D10" s="6" t="s">
        <v>444</v>
      </c>
      <c r="E10" s="6" t="s">
        <v>445</v>
      </c>
      <c r="F10" s="6" t="s">
        <v>446</v>
      </c>
      <c r="G10" s="6" t="s">
        <v>634</v>
      </c>
      <c r="H10" s="6" t="s">
        <v>635</v>
      </c>
      <c r="I10" s="6" t="s">
        <v>636</v>
      </c>
      <c r="J10" s="6"/>
      <c r="K10" s="6" t="s">
        <v>637</v>
      </c>
      <c r="L10" s="6" t="s">
        <v>638</v>
      </c>
      <c r="M10" s="6" t="s">
        <v>639</v>
      </c>
      <c r="N10" s="6" t="s">
        <v>640</v>
      </c>
      <c r="O10" s="6" t="s">
        <v>641</v>
      </c>
      <c r="P10" s="6" t="s">
        <v>642</v>
      </c>
      <c r="Q10" s="6"/>
    </row>
    <row r="11" customFormat="false" ht="46.25" hidden="false" customHeight="false" outlineLevel="0" collapsed="false">
      <c r="A11" s="23" t="n">
        <v>10</v>
      </c>
      <c r="B11" s="24" t="s">
        <v>451</v>
      </c>
      <c r="C11" s="6" t="s">
        <v>440</v>
      </c>
      <c r="D11" s="6" t="s">
        <v>455</v>
      </c>
      <c r="E11" s="6" t="s">
        <v>456</v>
      </c>
      <c r="F11" s="6" t="s">
        <v>428</v>
      </c>
      <c r="G11" s="6"/>
      <c r="H11" s="6" t="s">
        <v>643</v>
      </c>
      <c r="I11" s="6" t="s">
        <v>644</v>
      </c>
      <c r="J11" s="6" t="s">
        <v>645</v>
      </c>
      <c r="K11" s="6" t="s">
        <v>646</v>
      </c>
      <c r="L11" s="6" t="s">
        <v>647</v>
      </c>
      <c r="M11" s="6" t="s">
        <v>648</v>
      </c>
      <c r="N11" s="6" t="s">
        <v>649</v>
      </c>
      <c r="O11" s="6" t="s">
        <v>650</v>
      </c>
      <c r="P11" s="6" t="s">
        <v>651</v>
      </c>
      <c r="Q11" s="6" t="s">
        <v>652</v>
      </c>
    </row>
    <row r="12" customFormat="false" ht="46.25" hidden="false" customHeight="false" outlineLevel="0" collapsed="false">
      <c r="A12" s="23" t="n">
        <v>11</v>
      </c>
      <c r="B12" s="24" t="s">
        <v>459</v>
      </c>
      <c r="C12" s="6" t="s">
        <v>440</v>
      </c>
      <c r="D12" s="6" t="s">
        <v>462</v>
      </c>
      <c r="E12" s="6" t="s">
        <v>400</v>
      </c>
      <c r="F12" s="6" t="s">
        <v>428</v>
      </c>
      <c r="G12" s="6" t="s">
        <v>653</v>
      </c>
      <c r="H12" s="6" t="s">
        <v>654</v>
      </c>
      <c r="I12" s="6" t="s">
        <v>655</v>
      </c>
      <c r="J12" s="6"/>
      <c r="K12" s="6" t="s">
        <v>656</v>
      </c>
      <c r="L12" s="6" t="s">
        <v>657</v>
      </c>
      <c r="M12" s="6"/>
      <c r="N12" s="6" t="s">
        <v>658</v>
      </c>
      <c r="O12" s="6" t="s">
        <v>659</v>
      </c>
      <c r="P12" s="6" t="s">
        <v>660</v>
      </c>
      <c r="Q12" s="6" t="s">
        <v>661</v>
      </c>
    </row>
    <row r="13" customFormat="false" ht="57.45" hidden="false" customHeight="false" outlineLevel="0" collapsed="false">
      <c r="A13" s="23" t="n">
        <v>12</v>
      </c>
      <c r="B13" s="24" t="s">
        <v>467</v>
      </c>
      <c r="C13" s="6" t="s">
        <v>466</v>
      </c>
      <c r="D13" s="6" t="s">
        <v>470</v>
      </c>
      <c r="E13" s="6" t="s">
        <v>456</v>
      </c>
      <c r="F13" s="6" t="s">
        <v>471</v>
      </c>
      <c r="G13" s="6"/>
      <c r="H13" s="6" t="s">
        <v>662</v>
      </c>
      <c r="I13" s="6" t="s">
        <v>663</v>
      </c>
      <c r="J13" s="6"/>
      <c r="K13" s="6" t="s">
        <v>664</v>
      </c>
      <c r="L13" s="6" t="s">
        <v>665</v>
      </c>
      <c r="M13" s="6" t="s">
        <v>666</v>
      </c>
      <c r="N13" s="6" t="s">
        <v>667</v>
      </c>
      <c r="O13" s="6" t="s">
        <v>668</v>
      </c>
      <c r="P13" s="6" t="s">
        <v>669</v>
      </c>
      <c r="Q13" s="6"/>
    </row>
    <row r="14" customFormat="false" ht="46.25" hidden="false" customHeight="false" outlineLevel="0" collapsed="false">
      <c r="A14" s="23" t="n">
        <v>13</v>
      </c>
      <c r="B14" s="24" t="s">
        <v>474</v>
      </c>
      <c r="C14" s="6" t="s">
        <v>466</v>
      </c>
      <c r="D14" s="6" t="s">
        <v>392</v>
      </c>
      <c r="E14" s="6" t="s">
        <v>456</v>
      </c>
      <c r="F14" s="6" t="s">
        <v>478</v>
      </c>
      <c r="G14" s="6"/>
      <c r="H14" s="6" t="s">
        <v>670</v>
      </c>
      <c r="I14" s="6" t="s">
        <v>671</v>
      </c>
      <c r="J14" s="6"/>
      <c r="K14" s="6" t="s">
        <v>672</v>
      </c>
      <c r="L14" s="6" t="s">
        <v>673</v>
      </c>
      <c r="M14" s="6"/>
      <c r="N14" s="6" t="s">
        <v>674</v>
      </c>
      <c r="O14" s="6" t="s">
        <v>675</v>
      </c>
      <c r="P14" s="6" t="s">
        <v>676</v>
      </c>
      <c r="Q14" s="6"/>
    </row>
    <row r="15" customFormat="false" ht="46.25" hidden="false" customHeight="false" outlineLevel="0" collapsed="false">
      <c r="A15" s="23" t="n">
        <v>14</v>
      </c>
      <c r="B15" s="24" t="s">
        <v>481</v>
      </c>
      <c r="C15" s="6" t="s">
        <v>466</v>
      </c>
      <c r="D15" s="6" t="s">
        <v>485</v>
      </c>
      <c r="E15" s="6" t="s">
        <v>486</v>
      </c>
      <c r="F15" s="6" t="s">
        <v>428</v>
      </c>
      <c r="G15" s="6" t="s">
        <v>677</v>
      </c>
      <c r="H15" s="6"/>
      <c r="I15" s="6" t="s">
        <v>678</v>
      </c>
      <c r="J15" s="6"/>
      <c r="K15" s="6" t="s">
        <v>679</v>
      </c>
      <c r="L15" s="6" t="s">
        <v>680</v>
      </c>
      <c r="M15" s="6" t="s">
        <v>681</v>
      </c>
      <c r="N15" s="6"/>
      <c r="O15" s="6" t="s">
        <v>682</v>
      </c>
      <c r="P15" s="6" t="s">
        <v>683</v>
      </c>
      <c r="Q15" s="6" t="s">
        <v>684</v>
      </c>
    </row>
    <row r="16" customFormat="false" ht="57.45" hidden="false" customHeight="false" outlineLevel="0" collapsed="false">
      <c r="A16" s="23" t="n">
        <v>15</v>
      </c>
      <c r="B16" s="24" t="s">
        <v>492</v>
      </c>
      <c r="C16" s="6" t="s">
        <v>491</v>
      </c>
      <c r="D16" s="6" t="s">
        <v>495</v>
      </c>
      <c r="E16" s="6" t="s">
        <v>456</v>
      </c>
      <c r="F16" s="6" t="s">
        <v>496</v>
      </c>
      <c r="G16" s="6" t="s">
        <v>685</v>
      </c>
      <c r="H16" s="6" t="s">
        <v>686</v>
      </c>
      <c r="I16" s="6" t="s">
        <v>687</v>
      </c>
      <c r="J16" s="6" t="s">
        <v>688</v>
      </c>
      <c r="K16" s="6" t="s">
        <v>689</v>
      </c>
      <c r="L16" s="6" t="s">
        <v>690</v>
      </c>
      <c r="M16" s="6" t="s">
        <v>691</v>
      </c>
      <c r="N16" s="6" t="s">
        <v>692</v>
      </c>
      <c r="O16" s="6" t="s">
        <v>693</v>
      </c>
      <c r="P16" s="6" t="s">
        <v>694</v>
      </c>
      <c r="Q16" s="6"/>
    </row>
    <row r="17" customFormat="false" ht="35.05" hidden="false" customHeight="false" outlineLevel="0" collapsed="false">
      <c r="A17" s="23" t="n">
        <v>16</v>
      </c>
      <c r="B17" s="24" t="s">
        <v>500</v>
      </c>
      <c r="C17" s="6" t="s">
        <v>491</v>
      </c>
      <c r="D17" s="6" t="s">
        <v>503</v>
      </c>
      <c r="E17" s="6" t="s">
        <v>427</v>
      </c>
      <c r="F17" s="6" t="s">
        <v>504</v>
      </c>
      <c r="G17" s="6"/>
      <c r="H17" s="6" t="s">
        <v>695</v>
      </c>
      <c r="I17" s="6" t="s">
        <v>696</v>
      </c>
      <c r="J17" s="6"/>
      <c r="K17" s="6" t="s">
        <v>697</v>
      </c>
      <c r="L17" s="6" t="s">
        <v>698</v>
      </c>
      <c r="M17" s="6" t="s">
        <v>699</v>
      </c>
      <c r="N17" s="6" t="s">
        <v>700</v>
      </c>
      <c r="O17" s="6"/>
      <c r="P17" s="6" t="s">
        <v>701</v>
      </c>
      <c r="Q17" s="6"/>
    </row>
    <row r="18" customFormat="false" ht="35.05" hidden="false" customHeight="false" outlineLevel="0" collapsed="false">
      <c r="A18" s="23" t="n">
        <v>17</v>
      </c>
      <c r="B18" s="24" t="s">
        <v>508</v>
      </c>
      <c r="C18" s="6" t="s">
        <v>507</v>
      </c>
      <c r="D18" s="6" t="s">
        <v>511</v>
      </c>
      <c r="E18" s="6" t="s">
        <v>512</v>
      </c>
      <c r="F18" s="6" t="s">
        <v>513</v>
      </c>
      <c r="G18" s="6"/>
      <c r="H18" s="6" t="s">
        <v>702</v>
      </c>
      <c r="I18" s="6"/>
      <c r="J18" s="6"/>
      <c r="K18" s="6" t="s">
        <v>703</v>
      </c>
      <c r="L18" s="6" t="s">
        <v>704</v>
      </c>
      <c r="M18" s="6"/>
      <c r="N18" s="6"/>
      <c r="O18" s="6" t="s">
        <v>705</v>
      </c>
      <c r="P18" s="6" t="s">
        <v>706</v>
      </c>
      <c r="Q18" s="6" t="s">
        <v>707</v>
      </c>
    </row>
    <row r="19" customFormat="false" ht="35.05" hidden="false" customHeight="false" outlineLevel="0" collapsed="false">
      <c r="A19" s="23" t="n">
        <v>18</v>
      </c>
      <c r="B19" s="24" t="s">
        <v>517</v>
      </c>
      <c r="C19" s="6" t="s">
        <v>507</v>
      </c>
      <c r="D19" s="6" t="s">
        <v>520</v>
      </c>
      <c r="E19" s="6" t="s">
        <v>521</v>
      </c>
      <c r="F19" s="6" t="s">
        <v>522</v>
      </c>
      <c r="G19" s="6"/>
      <c r="H19" s="6"/>
      <c r="I19" s="6" t="s">
        <v>708</v>
      </c>
      <c r="J19" s="6"/>
      <c r="K19" s="6" t="s">
        <v>709</v>
      </c>
      <c r="L19" s="6" t="s">
        <v>710</v>
      </c>
      <c r="M19" s="6"/>
      <c r="N19" s="6"/>
      <c r="O19" s="6" t="s">
        <v>711</v>
      </c>
      <c r="P19" s="6" t="s">
        <v>712</v>
      </c>
      <c r="Q19" s="6" t="s">
        <v>713</v>
      </c>
    </row>
    <row r="20" customFormat="false" ht="35.05" hidden="false" customHeight="false" outlineLevel="0" collapsed="false">
      <c r="A20" s="23" t="n">
        <v>19</v>
      </c>
      <c r="B20" s="24" t="s">
        <v>525</v>
      </c>
      <c r="C20" s="6" t="s">
        <v>507</v>
      </c>
      <c r="D20" s="6" t="s">
        <v>528</v>
      </c>
      <c r="E20" s="6" t="s">
        <v>529</v>
      </c>
      <c r="F20" s="6" t="s">
        <v>530</v>
      </c>
      <c r="G20" s="6"/>
      <c r="H20" s="6"/>
      <c r="I20" s="6"/>
      <c r="J20" s="6"/>
      <c r="K20" s="6" t="s">
        <v>714</v>
      </c>
      <c r="L20" s="6" t="s">
        <v>715</v>
      </c>
      <c r="M20" s="6" t="s">
        <v>716</v>
      </c>
      <c r="N20" s="6"/>
      <c r="O20" s="6" t="s">
        <v>717</v>
      </c>
      <c r="P20" s="6" t="s">
        <v>718</v>
      </c>
      <c r="Q20" s="6"/>
    </row>
    <row r="21" customFormat="false" ht="158.2" hidden="false" customHeight="false" outlineLevel="0" collapsed="false">
      <c r="A21" s="23" t="n">
        <v>20</v>
      </c>
      <c r="B21" s="24" t="s">
        <v>533</v>
      </c>
      <c r="C21" s="6" t="s">
        <v>507</v>
      </c>
      <c r="D21" s="6" t="s">
        <v>537</v>
      </c>
      <c r="E21" s="6" t="s">
        <v>538</v>
      </c>
      <c r="F21" s="6" t="s">
        <v>539</v>
      </c>
      <c r="G21" s="6"/>
      <c r="H21" s="6" t="s">
        <v>719</v>
      </c>
      <c r="I21" s="6"/>
      <c r="J21" s="6"/>
      <c r="K21" s="6" t="s">
        <v>720</v>
      </c>
      <c r="L21" s="6" t="s">
        <v>721</v>
      </c>
      <c r="M21" s="6"/>
      <c r="N21" s="6"/>
      <c r="O21" s="6" t="s">
        <v>722</v>
      </c>
      <c r="P21" s="6" t="s">
        <v>723</v>
      </c>
      <c r="Q21" s="6" t="s">
        <v>724</v>
      </c>
    </row>
    <row r="23" customFormat="false" ht="15" hidden="false" customHeight="false" outlineLevel="0" collapsed="false">
      <c r="A23" s="3" t="s">
        <v>725</v>
      </c>
      <c r="B23" s="3"/>
      <c r="C23" s="3"/>
      <c r="D23" s="3"/>
      <c r="E23" s="3"/>
      <c r="F23" s="3"/>
      <c r="G23" s="3"/>
      <c r="H23" s="3"/>
      <c r="I23" s="3"/>
      <c r="J23" s="3"/>
      <c r="K23" s="3"/>
      <c r="L23" s="3"/>
      <c r="M23" s="3"/>
      <c r="N23" s="3"/>
      <c r="O23" s="3"/>
      <c r="P23" s="3"/>
      <c r="Q23" s="3"/>
    </row>
    <row r="24" customFormat="false" ht="30" hidden="false" customHeight="true" outlineLevel="0" collapsed="false">
      <c r="B24" s="20" t="s">
        <v>726</v>
      </c>
      <c r="C24" s="20"/>
      <c r="D24" s="20"/>
      <c r="E24" s="20"/>
      <c r="F24" s="20"/>
      <c r="G24" s="20"/>
      <c r="H24" s="20"/>
      <c r="I24" s="20"/>
    </row>
  </sheetData>
  <autoFilter ref="A1:Q21"/>
  <mergeCells count="1">
    <mergeCell ref="B24:I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F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36"/>
    <col collapsed="false" customWidth="true" hidden="false" outlineLevel="0" max="4" min="4" style="0" width="14"/>
    <col collapsed="false" customWidth="true" hidden="false" outlineLevel="0" max="6" min="5" style="0" width="52"/>
  </cols>
  <sheetData>
    <row r="1" customFormat="false" ht="15" hidden="false" customHeight="false" outlineLevel="0" collapsed="false">
      <c r="A1" s="4" t="s">
        <v>358</v>
      </c>
      <c r="B1" s="4" t="s">
        <v>360</v>
      </c>
      <c r="C1" s="4" t="s">
        <v>727</v>
      </c>
      <c r="D1" s="4" t="s">
        <v>728</v>
      </c>
      <c r="E1" s="4" t="s">
        <v>729</v>
      </c>
      <c r="F1" s="4" t="s">
        <v>730</v>
      </c>
    </row>
    <row r="2" customFormat="false" ht="15" hidden="false" customHeight="false" outlineLevel="0" collapsed="false">
      <c r="A2" s="23" t="n">
        <v>1</v>
      </c>
      <c r="B2" s="6" t="s">
        <v>372</v>
      </c>
      <c r="C2" s="6" t="s">
        <v>731</v>
      </c>
      <c r="D2" s="6" t="s">
        <v>732</v>
      </c>
      <c r="E2" s="6" t="s">
        <v>733</v>
      </c>
      <c r="F2" s="6" t="s">
        <v>734</v>
      </c>
    </row>
    <row r="3" customFormat="false" ht="15" hidden="false" customHeight="false" outlineLevel="0" collapsed="false">
      <c r="A3" s="23" t="n">
        <v>1</v>
      </c>
      <c r="B3" s="6" t="s">
        <v>372</v>
      </c>
      <c r="C3" s="6" t="s">
        <v>731</v>
      </c>
      <c r="D3" s="6" t="s">
        <v>735</v>
      </c>
      <c r="E3" s="6" t="s">
        <v>736</v>
      </c>
      <c r="F3" s="6" t="s">
        <v>55</v>
      </c>
    </row>
    <row r="4" customFormat="false" ht="15" hidden="false" customHeight="false" outlineLevel="0" collapsed="false">
      <c r="A4" s="23" t="n">
        <v>1</v>
      </c>
      <c r="B4" s="6" t="s">
        <v>372</v>
      </c>
      <c r="C4" s="6" t="s">
        <v>731</v>
      </c>
      <c r="D4" s="6" t="s">
        <v>737</v>
      </c>
      <c r="E4" s="6" t="s">
        <v>738</v>
      </c>
      <c r="F4" s="6" t="s">
        <v>55</v>
      </c>
    </row>
    <row r="5" customFormat="false" ht="15" hidden="false" customHeight="false" outlineLevel="0" collapsed="false">
      <c r="A5" s="23" t="n">
        <v>1</v>
      </c>
      <c r="B5" s="6" t="s">
        <v>372</v>
      </c>
      <c r="C5" s="6" t="s">
        <v>731</v>
      </c>
      <c r="D5" s="6" t="s">
        <v>739</v>
      </c>
      <c r="E5" s="6" t="s">
        <v>740</v>
      </c>
      <c r="F5" s="6" t="s">
        <v>741</v>
      </c>
    </row>
    <row r="6" customFormat="false" ht="15" hidden="false" customHeight="false" outlineLevel="0" collapsed="false">
      <c r="A6" s="23" t="n">
        <v>1</v>
      </c>
      <c r="B6" s="6" t="s">
        <v>372</v>
      </c>
      <c r="C6" s="6" t="s">
        <v>731</v>
      </c>
      <c r="D6" s="6" t="s">
        <v>742</v>
      </c>
      <c r="E6" s="6" t="s">
        <v>743</v>
      </c>
      <c r="F6" s="6" t="s">
        <v>744</v>
      </c>
    </row>
    <row r="7" customFormat="false" ht="15" hidden="false" customHeight="false" outlineLevel="0" collapsed="false">
      <c r="A7" s="23" t="n">
        <v>2</v>
      </c>
      <c r="B7" s="6" t="s">
        <v>381</v>
      </c>
      <c r="C7" s="6" t="s">
        <v>745</v>
      </c>
      <c r="D7" s="6" t="s">
        <v>746</v>
      </c>
      <c r="E7" s="6" t="s">
        <v>747</v>
      </c>
      <c r="F7" s="6" t="s">
        <v>748</v>
      </c>
    </row>
    <row r="8" customFormat="false" ht="23.85" hidden="false" customHeight="false" outlineLevel="0" collapsed="false">
      <c r="A8" s="23" t="n">
        <v>2</v>
      </c>
      <c r="B8" s="6" t="s">
        <v>381</v>
      </c>
      <c r="C8" s="6" t="s">
        <v>745</v>
      </c>
      <c r="D8" s="6" t="s">
        <v>749</v>
      </c>
      <c r="E8" s="6" t="s">
        <v>750</v>
      </c>
      <c r="F8" s="6" t="s">
        <v>751</v>
      </c>
    </row>
    <row r="9" customFormat="false" ht="15" hidden="false" customHeight="false" outlineLevel="0" collapsed="false">
      <c r="A9" s="23" t="n">
        <v>2</v>
      </c>
      <c r="B9" s="6" t="s">
        <v>381</v>
      </c>
      <c r="C9" s="6" t="s">
        <v>745</v>
      </c>
      <c r="D9" s="6" t="s">
        <v>752</v>
      </c>
      <c r="E9" s="6" t="s">
        <v>753</v>
      </c>
      <c r="F9" s="6" t="s">
        <v>754</v>
      </c>
    </row>
    <row r="10" customFormat="false" ht="15" hidden="false" customHeight="false" outlineLevel="0" collapsed="false">
      <c r="A10" s="23" t="n">
        <v>2</v>
      </c>
      <c r="B10" s="6" t="s">
        <v>381</v>
      </c>
      <c r="C10" s="6" t="s">
        <v>745</v>
      </c>
      <c r="D10" s="6" t="s">
        <v>755</v>
      </c>
      <c r="E10" s="6" t="s">
        <v>756</v>
      </c>
      <c r="F10" s="6" t="s">
        <v>55</v>
      </c>
    </row>
    <row r="11" customFormat="false" ht="15" hidden="false" customHeight="false" outlineLevel="0" collapsed="false">
      <c r="A11" s="23" t="n">
        <v>3</v>
      </c>
      <c r="B11" s="6" t="s">
        <v>389</v>
      </c>
      <c r="C11" s="6" t="s">
        <v>757</v>
      </c>
      <c r="D11" s="6" t="s">
        <v>758</v>
      </c>
      <c r="E11" s="6" t="s">
        <v>759</v>
      </c>
      <c r="F11" s="6" t="s">
        <v>760</v>
      </c>
    </row>
    <row r="12" customFormat="false" ht="15" hidden="false" customHeight="false" outlineLevel="0" collapsed="false">
      <c r="A12" s="23" t="n">
        <v>3</v>
      </c>
      <c r="B12" s="6" t="s">
        <v>389</v>
      </c>
      <c r="C12" s="6" t="s">
        <v>757</v>
      </c>
      <c r="D12" s="6" t="s">
        <v>761</v>
      </c>
      <c r="E12" s="6" t="s">
        <v>762</v>
      </c>
      <c r="F12" s="6" t="s">
        <v>763</v>
      </c>
    </row>
    <row r="13" customFormat="false" ht="15" hidden="false" customHeight="false" outlineLevel="0" collapsed="false">
      <c r="A13" s="23" t="n">
        <v>3</v>
      </c>
      <c r="B13" s="6" t="s">
        <v>389</v>
      </c>
      <c r="C13" s="6" t="s">
        <v>757</v>
      </c>
      <c r="D13" s="6" t="s">
        <v>764</v>
      </c>
      <c r="E13" s="6" t="s">
        <v>765</v>
      </c>
      <c r="F13" s="6" t="s">
        <v>55</v>
      </c>
    </row>
    <row r="14" customFormat="false" ht="15" hidden="false" customHeight="false" outlineLevel="0" collapsed="false">
      <c r="A14" s="23" t="n">
        <v>3</v>
      </c>
      <c r="B14" s="6" t="s">
        <v>389</v>
      </c>
      <c r="C14" s="6" t="s">
        <v>757</v>
      </c>
      <c r="D14" s="6" t="s">
        <v>766</v>
      </c>
      <c r="E14" s="6" t="s">
        <v>767</v>
      </c>
      <c r="F14" s="6" t="s">
        <v>768</v>
      </c>
    </row>
    <row r="15" customFormat="false" ht="23.85" hidden="false" customHeight="false" outlineLevel="0" collapsed="false">
      <c r="A15" s="23" t="n">
        <v>4</v>
      </c>
      <c r="B15" s="6" t="s">
        <v>397</v>
      </c>
      <c r="C15" s="6" t="s">
        <v>731</v>
      </c>
      <c r="D15" s="6" t="s">
        <v>769</v>
      </c>
      <c r="E15" s="6" t="s">
        <v>770</v>
      </c>
      <c r="F15" s="6" t="s">
        <v>771</v>
      </c>
    </row>
    <row r="16" customFormat="false" ht="23.85" hidden="false" customHeight="false" outlineLevel="0" collapsed="false">
      <c r="A16" s="23" t="n">
        <v>4</v>
      </c>
      <c r="B16" s="6" t="s">
        <v>397</v>
      </c>
      <c r="C16" s="6" t="s">
        <v>731</v>
      </c>
      <c r="D16" s="6" t="s">
        <v>772</v>
      </c>
      <c r="E16" s="6" t="s">
        <v>773</v>
      </c>
      <c r="F16" s="6" t="s">
        <v>774</v>
      </c>
    </row>
    <row r="17" customFormat="false" ht="23.85" hidden="false" customHeight="false" outlineLevel="0" collapsed="false">
      <c r="A17" s="23" t="n">
        <v>4</v>
      </c>
      <c r="B17" s="6" t="s">
        <v>397</v>
      </c>
      <c r="C17" s="6" t="s">
        <v>731</v>
      </c>
      <c r="D17" s="6" t="s">
        <v>775</v>
      </c>
      <c r="E17" s="6" t="s">
        <v>776</v>
      </c>
      <c r="F17" s="6" t="s">
        <v>777</v>
      </c>
    </row>
    <row r="18" customFormat="false" ht="23.85" hidden="false" customHeight="false" outlineLevel="0" collapsed="false">
      <c r="A18" s="23" t="n">
        <v>4</v>
      </c>
      <c r="B18" s="6" t="s">
        <v>397</v>
      </c>
      <c r="C18" s="6" t="s">
        <v>731</v>
      </c>
      <c r="D18" s="6" t="s">
        <v>778</v>
      </c>
      <c r="E18" s="6" t="s">
        <v>779</v>
      </c>
      <c r="F18" s="6" t="s">
        <v>55</v>
      </c>
    </row>
    <row r="19" customFormat="false" ht="23.85" hidden="false" customHeight="false" outlineLevel="0" collapsed="false">
      <c r="A19" s="23" t="n">
        <v>5</v>
      </c>
      <c r="B19" s="6" t="s">
        <v>405</v>
      </c>
      <c r="C19" s="6" t="s">
        <v>780</v>
      </c>
      <c r="D19" s="6" t="s">
        <v>769</v>
      </c>
      <c r="E19" s="6" t="s">
        <v>781</v>
      </c>
      <c r="F19" s="6" t="s">
        <v>782</v>
      </c>
    </row>
    <row r="20" customFormat="false" ht="15" hidden="false" customHeight="false" outlineLevel="0" collapsed="false">
      <c r="A20" s="23" t="n">
        <v>5</v>
      </c>
      <c r="B20" s="6" t="s">
        <v>405</v>
      </c>
      <c r="C20" s="6" t="s">
        <v>780</v>
      </c>
      <c r="D20" s="6" t="s">
        <v>783</v>
      </c>
      <c r="E20" s="6" t="s">
        <v>784</v>
      </c>
      <c r="F20" s="6" t="s">
        <v>55</v>
      </c>
    </row>
    <row r="21" customFormat="false" ht="15" hidden="false" customHeight="false" outlineLevel="0" collapsed="false">
      <c r="A21" s="23" t="n">
        <v>5</v>
      </c>
      <c r="B21" s="6" t="s">
        <v>405</v>
      </c>
      <c r="C21" s="6" t="s">
        <v>780</v>
      </c>
      <c r="D21" s="6" t="s">
        <v>785</v>
      </c>
      <c r="E21" s="6" t="s">
        <v>786</v>
      </c>
      <c r="F21" s="6" t="s">
        <v>787</v>
      </c>
    </row>
    <row r="22" customFormat="false" ht="15" hidden="false" customHeight="false" outlineLevel="0" collapsed="false">
      <c r="A22" s="23" t="n">
        <v>5</v>
      </c>
      <c r="B22" s="6" t="s">
        <v>405</v>
      </c>
      <c r="C22" s="6" t="s">
        <v>780</v>
      </c>
      <c r="D22" s="6" t="s">
        <v>788</v>
      </c>
      <c r="E22" s="6" t="s">
        <v>789</v>
      </c>
      <c r="F22" s="6" t="s">
        <v>55</v>
      </c>
    </row>
    <row r="23" customFormat="false" ht="15" hidden="false" customHeight="false" outlineLevel="0" collapsed="false">
      <c r="A23" s="23" t="n">
        <v>5</v>
      </c>
      <c r="B23" s="6" t="s">
        <v>405</v>
      </c>
      <c r="C23" s="6" t="s">
        <v>780</v>
      </c>
      <c r="D23" s="6" t="s">
        <v>790</v>
      </c>
      <c r="E23" s="6" t="s">
        <v>791</v>
      </c>
      <c r="F23" s="6" t="s">
        <v>792</v>
      </c>
    </row>
    <row r="24" customFormat="false" ht="15" hidden="false" customHeight="false" outlineLevel="0" collapsed="false">
      <c r="A24" s="23" t="n">
        <v>6</v>
      </c>
      <c r="B24" s="6" t="s">
        <v>415</v>
      </c>
      <c r="C24" s="6" t="s">
        <v>793</v>
      </c>
      <c r="D24" s="6" t="s">
        <v>769</v>
      </c>
      <c r="E24" s="6" t="s">
        <v>794</v>
      </c>
      <c r="F24" s="6" t="s">
        <v>795</v>
      </c>
    </row>
    <row r="25" customFormat="false" ht="15" hidden="false" customHeight="false" outlineLevel="0" collapsed="false">
      <c r="A25" s="23" t="n">
        <v>6</v>
      </c>
      <c r="B25" s="6" t="s">
        <v>415</v>
      </c>
      <c r="C25" s="6" t="s">
        <v>793</v>
      </c>
      <c r="D25" s="6" t="s">
        <v>796</v>
      </c>
      <c r="E25" s="6" t="s">
        <v>797</v>
      </c>
      <c r="F25" s="6" t="s">
        <v>798</v>
      </c>
    </row>
    <row r="26" customFormat="false" ht="15" hidden="false" customHeight="false" outlineLevel="0" collapsed="false">
      <c r="A26" s="23" t="n">
        <v>6</v>
      </c>
      <c r="B26" s="6" t="s">
        <v>415</v>
      </c>
      <c r="C26" s="6" t="s">
        <v>793</v>
      </c>
      <c r="D26" s="6" t="s">
        <v>799</v>
      </c>
      <c r="E26" s="6" t="s">
        <v>800</v>
      </c>
      <c r="F26" s="6" t="s">
        <v>55</v>
      </c>
    </row>
    <row r="27" customFormat="false" ht="15" hidden="false" customHeight="false" outlineLevel="0" collapsed="false">
      <c r="A27" s="23" t="n">
        <v>6</v>
      </c>
      <c r="B27" s="6" t="s">
        <v>415</v>
      </c>
      <c r="C27" s="6" t="s">
        <v>793</v>
      </c>
      <c r="D27" s="6" t="s">
        <v>801</v>
      </c>
      <c r="E27" s="6" t="s">
        <v>802</v>
      </c>
      <c r="F27" s="6" t="s">
        <v>803</v>
      </c>
    </row>
    <row r="28" customFormat="false" ht="15" hidden="false" customHeight="false" outlineLevel="0" collapsed="false">
      <c r="A28" s="23" t="n">
        <v>6</v>
      </c>
      <c r="B28" s="6" t="s">
        <v>415</v>
      </c>
      <c r="C28" s="6" t="s">
        <v>793</v>
      </c>
      <c r="D28" s="6" t="s">
        <v>804</v>
      </c>
      <c r="E28" s="6" t="s">
        <v>805</v>
      </c>
      <c r="F28" s="6" t="s">
        <v>806</v>
      </c>
    </row>
    <row r="29" customFormat="false" ht="15" hidden="false" customHeight="false" outlineLevel="0" collapsed="false">
      <c r="A29" s="23" t="n">
        <v>6</v>
      </c>
      <c r="B29" s="6" t="s">
        <v>415</v>
      </c>
      <c r="C29" s="6" t="s">
        <v>793</v>
      </c>
      <c r="D29" s="6" t="s">
        <v>807</v>
      </c>
      <c r="E29" s="6" t="s">
        <v>808</v>
      </c>
      <c r="F29" s="6" t="s">
        <v>55</v>
      </c>
    </row>
    <row r="30" customFormat="false" ht="15" hidden="false" customHeight="false" outlineLevel="0" collapsed="false">
      <c r="A30" s="23" t="n">
        <v>7</v>
      </c>
      <c r="B30" s="6" t="s">
        <v>423</v>
      </c>
      <c r="C30" s="6" t="s">
        <v>809</v>
      </c>
      <c r="D30" s="6" t="s">
        <v>769</v>
      </c>
      <c r="E30" s="6" t="s">
        <v>810</v>
      </c>
      <c r="F30" s="6" t="s">
        <v>811</v>
      </c>
    </row>
    <row r="31" customFormat="false" ht="15" hidden="false" customHeight="false" outlineLevel="0" collapsed="false">
      <c r="A31" s="23" t="n">
        <v>7</v>
      </c>
      <c r="B31" s="6" t="s">
        <v>423</v>
      </c>
      <c r="C31" s="6" t="s">
        <v>809</v>
      </c>
      <c r="D31" s="6" t="s">
        <v>812</v>
      </c>
      <c r="E31" s="6" t="s">
        <v>813</v>
      </c>
      <c r="F31" s="6" t="s">
        <v>814</v>
      </c>
    </row>
    <row r="32" customFormat="false" ht="15" hidden="false" customHeight="false" outlineLevel="0" collapsed="false">
      <c r="A32" s="23" t="n">
        <v>7</v>
      </c>
      <c r="B32" s="6" t="s">
        <v>423</v>
      </c>
      <c r="C32" s="6" t="s">
        <v>809</v>
      </c>
      <c r="D32" s="6" t="s">
        <v>739</v>
      </c>
      <c r="E32" s="6" t="s">
        <v>815</v>
      </c>
      <c r="F32" s="6" t="s">
        <v>816</v>
      </c>
    </row>
    <row r="33" customFormat="false" ht="15" hidden="false" customHeight="false" outlineLevel="0" collapsed="false">
      <c r="A33" s="23" t="n">
        <v>7</v>
      </c>
      <c r="B33" s="6" t="s">
        <v>423</v>
      </c>
      <c r="C33" s="6" t="s">
        <v>809</v>
      </c>
      <c r="D33" s="6" t="s">
        <v>742</v>
      </c>
      <c r="E33" s="6" t="s">
        <v>817</v>
      </c>
      <c r="F33" s="6" t="s">
        <v>818</v>
      </c>
    </row>
    <row r="34" customFormat="false" ht="23.85" hidden="false" customHeight="false" outlineLevel="0" collapsed="false">
      <c r="A34" s="23" t="n">
        <v>8</v>
      </c>
      <c r="B34" s="6" t="s">
        <v>431</v>
      </c>
      <c r="C34" s="6" t="s">
        <v>819</v>
      </c>
      <c r="D34" s="6" t="s">
        <v>769</v>
      </c>
      <c r="E34" s="6" t="s">
        <v>820</v>
      </c>
      <c r="F34" s="6" t="s">
        <v>821</v>
      </c>
    </row>
    <row r="35" customFormat="false" ht="23.85" hidden="false" customHeight="false" outlineLevel="0" collapsed="false">
      <c r="A35" s="23" t="n">
        <v>8</v>
      </c>
      <c r="B35" s="6" t="s">
        <v>431</v>
      </c>
      <c r="C35" s="6" t="s">
        <v>819</v>
      </c>
      <c r="D35" s="6" t="s">
        <v>822</v>
      </c>
      <c r="E35" s="6" t="s">
        <v>823</v>
      </c>
      <c r="F35" s="6" t="s">
        <v>824</v>
      </c>
    </row>
    <row r="36" customFormat="false" ht="23.85" hidden="false" customHeight="false" outlineLevel="0" collapsed="false">
      <c r="A36" s="23" t="n">
        <v>8</v>
      </c>
      <c r="B36" s="6" t="s">
        <v>431</v>
      </c>
      <c r="C36" s="6" t="s">
        <v>819</v>
      </c>
      <c r="D36" s="6" t="s">
        <v>825</v>
      </c>
      <c r="E36" s="6" t="s">
        <v>826</v>
      </c>
      <c r="F36" s="6" t="s">
        <v>827</v>
      </c>
    </row>
    <row r="37" customFormat="false" ht="23.85" hidden="false" customHeight="false" outlineLevel="0" collapsed="false">
      <c r="A37" s="23" t="n">
        <v>8</v>
      </c>
      <c r="B37" s="6" t="s">
        <v>431</v>
      </c>
      <c r="C37" s="6" t="s">
        <v>819</v>
      </c>
      <c r="D37" s="6" t="s">
        <v>828</v>
      </c>
      <c r="E37" s="6" t="s">
        <v>829</v>
      </c>
      <c r="F37" s="6" t="s">
        <v>830</v>
      </c>
    </row>
    <row r="38" customFormat="false" ht="23.85" hidden="false" customHeight="false" outlineLevel="0" collapsed="false">
      <c r="A38" s="23" t="n">
        <v>8</v>
      </c>
      <c r="B38" s="6" t="s">
        <v>431</v>
      </c>
      <c r="C38" s="6" t="s">
        <v>819</v>
      </c>
      <c r="D38" s="6" t="s">
        <v>831</v>
      </c>
      <c r="E38" s="6" t="s">
        <v>832</v>
      </c>
      <c r="F38" s="6" t="s">
        <v>833</v>
      </c>
    </row>
    <row r="39" customFormat="false" ht="23.85" hidden="false" customHeight="false" outlineLevel="0" collapsed="false">
      <c r="A39" s="23" t="n">
        <v>8</v>
      </c>
      <c r="B39" s="6" t="s">
        <v>431</v>
      </c>
      <c r="C39" s="6" t="s">
        <v>819</v>
      </c>
      <c r="D39" s="6" t="s">
        <v>834</v>
      </c>
      <c r="E39" s="6" t="s">
        <v>835</v>
      </c>
      <c r="F39" s="6" t="s">
        <v>836</v>
      </c>
    </row>
    <row r="40" customFormat="false" ht="15" hidden="false" customHeight="false" outlineLevel="0" collapsed="false">
      <c r="A40" s="23" t="n">
        <v>9</v>
      </c>
      <c r="B40" s="6" t="s">
        <v>441</v>
      </c>
      <c r="C40" s="6" t="s">
        <v>837</v>
      </c>
      <c r="D40" s="6" t="s">
        <v>769</v>
      </c>
      <c r="E40" s="6" t="s">
        <v>838</v>
      </c>
      <c r="F40" s="6" t="s">
        <v>771</v>
      </c>
    </row>
    <row r="41" customFormat="false" ht="15" hidden="false" customHeight="false" outlineLevel="0" collapsed="false">
      <c r="A41" s="23" t="n">
        <v>9</v>
      </c>
      <c r="B41" s="6" t="s">
        <v>441</v>
      </c>
      <c r="C41" s="6" t="s">
        <v>837</v>
      </c>
      <c r="D41" s="6" t="s">
        <v>783</v>
      </c>
      <c r="E41" s="6" t="s">
        <v>839</v>
      </c>
      <c r="F41" s="6" t="s">
        <v>840</v>
      </c>
    </row>
    <row r="42" customFormat="false" ht="15" hidden="false" customHeight="false" outlineLevel="0" collapsed="false">
      <c r="A42" s="23" t="n">
        <v>9</v>
      </c>
      <c r="B42" s="6" t="s">
        <v>441</v>
      </c>
      <c r="C42" s="6" t="s">
        <v>837</v>
      </c>
      <c r="D42" s="6" t="s">
        <v>737</v>
      </c>
      <c r="E42" s="6" t="s">
        <v>841</v>
      </c>
      <c r="F42" s="6" t="s">
        <v>842</v>
      </c>
    </row>
    <row r="43" customFormat="false" ht="15" hidden="false" customHeight="false" outlineLevel="0" collapsed="false">
      <c r="A43" s="23" t="n">
        <v>9</v>
      </c>
      <c r="B43" s="6" t="s">
        <v>441</v>
      </c>
      <c r="C43" s="6" t="s">
        <v>837</v>
      </c>
      <c r="D43" s="6" t="s">
        <v>843</v>
      </c>
      <c r="E43" s="6" t="s">
        <v>844</v>
      </c>
      <c r="F43" s="6" t="s">
        <v>55</v>
      </c>
    </row>
    <row r="44" customFormat="false" ht="15" hidden="false" customHeight="false" outlineLevel="0" collapsed="false">
      <c r="A44" s="23" t="n">
        <v>9</v>
      </c>
      <c r="B44" s="6" t="s">
        <v>441</v>
      </c>
      <c r="C44" s="6" t="s">
        <v>837</v>
      </c>
      <c r="D44" s="6" t="s">
        <v>845</v>
      </c>
      <c r="E44" s="6" t="s">
        <v>846</v>
      </c>
      <c r="F44" s="6" t="s">
        <v>55</v>
      </c>
    </row>
    <row r="45" customFormat="false" ht="15" hidden="false" customHeight="false" outlineLevel="0" collapsed="false">
      <c r="A45" s="23" t="n">
        <v>9</v>
      </c>
      <c r="B45" s="6" t="s">
        <v>441</v>
      </c>
      <c r="C45" s="6" t="s">
        <v>837</v>
      </c>
      <c r="D45" s="6" t="s">
        <v>847</v>
      </c>
      <c r="E45" s="6" t="s">
        <v>848</v>
      </c>
      <c r="F45" s="6" t="s">
        <v>55</v>
      </c>
    </row>
    <row r="46" customFormat="false" ht="15" hidden="false" customHeight="false" outlineLevel="0" collapsed="false">
      <c r="A46" s="23" t="n">
        <v>9</v>
      </c>
      <c r="B46" s="6" t="s">
        <v>441</v>
      </c>
      <c r="C46" s="6" t="s">
        <v>837</v>
      </c>
      <c r="D46" s="6" t="s">
        <v>849</v>
      </c>
      <c r="E46" s="6" t="s">
        <v>850</v>
      </c>
      <c r="F46" s="6" t="s">
        <v>851</v>
      </c>
    </row>
    <row r="47" customFormat="false" ht="23.85" hidden="false" customHeight="false" outlineLevel="0" collapsed="false">
      <c r="A47" s="23" t="n">
        <v>10</v>
      </c>
      <c r="B47" s="6" t="s">
        <v>451</v>
      </c>
      <c r="C47" s="6" t="s">
        <v>852</v>
      </c>
      <c r="D47" s="6" t="s">
        <v>769</v>
      </c>
      <c r="E47" s="6" t="s">
        <v>853</v>
      </c>
      <c r="F47" s="6"/>
    </row>
    <row r="48" customFormat="false" ht="23.85" hidden="false" customHeight="false" outlineLevel="0" collapsed="false">
      <c r="A48" s="23" t="n">
        <v>10</v>
      </c>
      <c r="B48" s="6" t="s">
        <v>451</v>
      </c>
      <c r="C48" s="6" t="s">
        <v>852</v>
      </c>
      <c r="D48" s="6" t="s">
        <v>783</v>
      </c>
      <c r="E48" s="6" t="s">
        <v>854</v>
      </c>
      <c r="F48" s="6"/>
    </row>
    <row r="49" customFormat="false" ht="23.85" hidden="false" customHeight="false" outlineLevel="0" collapsed="false">
      <c r="A49" s="23" t="n">
        <v>10</v>
      </c>
      <c r="B49" s="6" t="s">
        <v>451</v>
      </c>
      <c r="C49" s="6" t="s">
        <v>852</v>
      </c>
      <c r="D49" s="6" t="s">
        <v>764</v>
      </c>
      <c r="E49" s="6" t="s">
        <v>855</v>
      </c>
      <c r="F49" s="6"/>
    </row>
    <row r="50" customFormat="false" ht="23.85" hidden="false" customHeight="false" outlineLevel="0" collapsed="false">
      <c r="A50" s="23" t="n">
        <v>10</v>
      </c>
      <c r="B50" s="6" t="s">
        <v>451</v>
      </c>
      <c r="C50" s="6" t="s">
        <v>852</v>
      </c>
      <c r="D50" s="6" t="s">
        <v>856</v>
      </c>
      <c r="E50" s="6" t="s">
        <v>857</v>
      </c>
      <c r="F50" s="6"/>
    </row>
    <row r="51" customFormat="false" ht="23.85" hidden="false" customHeight="false" outlineLevel="0" collapsed="false">
      <c r="A51" s="23" t="n">
        <v>10</v>
      </c>
      <c r="B51" s="6" t="s">
        <v>451</v>
      </c>
      <c r="C51" s="6" t="s">
        <v>852</v>
      </c>
      <c r="D51" s="6" t="s">
        <v>778</v>
      </c>
      <c r="E51" s="6" t="s">
        <v>858</v>
      </c>
      <c r="F51" s="6"/>
    </row>
    <row r="52" customFormat="false" ht="23.85" hidden="false" customHeight="false" outlineLevel="0" collapsed="false">
      <c r="A52" s="23" t="n">
        <v>10</v>
      </c>
      <c r="B52" s="6" t="s">
        <v>451</v>
      </c>
      <c r="C52" s="6" t="s">
        <v>852</v>
      </c>
      <c r="D52" s="6" t="s">
        <v>859</v>
      </c>
      <c r="E52" s="6" t="s">
        <v>860</v>
      </c>
      <c r="F52" s="6"/>
    </row>
    <row r="53" customFormat="false" ht="23.85" hidden="false" customHeight="false" outlineLevel="0" collapsed="false">
      <c r="A53" s="23" t="n">
        <v>10</v>
      </c>
      <c r="B53" s="6" t="s">
        <v>451</v>
      </c>
      <c r="C53" s="6" t="s">
        <v>852</v>
      </c>
      <c r="D53" s="6" t="s">
        <v>788</v>
      </c>
      <c r="E53" s="6" t="s">
        <v>861</v>
      </c>
      <c r="F53" s="6"/>
    </row>
    <row r="54" customFormat="false" ht="23.85" hidden="false" customHeight="false" outlineLevel="0" collapsed="false">
      <c r="A54" s="23" t="n">
        <v>10</v>
      </c>
      <c r="B54" s="6" t="s">
        <v>451</v>
      </c>
      <c r="C54" s="6" t="s">
        <v>852</v>
      </c>
      <c r="D54" s="6" t="s">
        <v>790</v>
      </c>
      <c r="E54" s="6" t="s">
        <v>862</v>
      </c>
      <c r="F54" s="6"/>
    </row>
    <row r="55" customFormat="false" ht="23.85" hidden="false" customHeight="false" outlineLevel="0" collapsed="false">
      <c r="A55" s="23" t="n">
        <v>10</v>
      </c>
      <c r="B55" s="6" t="s">
        <v>451</v>
      </c>
      <c r="C55" s="6" t="s">
        <v>852</v>
      </c>
      <c r="D55" s="6" t="s">
        <v>863</v>
      </c>
      <c r="E55" s="6" t="s">
        <v>864</v>
      </c>
      <c r="F55" s="6"/>
    </row>
    <row r="56" customFormat="false" ht="15" hidden="false" customHeight="false" outlineLevel="0" collapsed="false">
      <c r="A56" s="23" t="n">
        <v>11</v>
      </c>
      <c r="B56" s="6" t="s">
        <v>459</v>
      </c>
      <c r="C56" s="6" t="s">
        <v>865</v>
      </c>
      <c r="D56" s="6" t="s">
        <v>769</v>
      </c>
      <c r="E56" s="6" t="s">
        <v>866</v>
      </c>
      <c r="F56" s="6" t="s">
        <v>867</v>
      </c>
    </row>
    <row r="57" customFormat="false" ht="15" hidden="false" customHeight="false" outlineLevel="0" collapsed="false">
      <c r="A57" s="23" t="n">
        <v>11</v>
      </c>
      <c r="B57" s="6" t="s">
        <v>459</v>
      </c>
      <c r="C57" s="6" t="s">
        <v>865</v>
      </c>
      <c r="D57" s="6" t="s">
        <v>868</v>
      </c>
      <c r="E57" s="6" t="s">
        <v>869</v>
      </c>
      <c r="F57" s="6" t="s">
        <v>55</v>
      </c>
    </row>
    <row r="58" customFormat="false" ht="15" hidden="false" customHeight="false" outlineLevel="0" collapsed="false">
      <c r="A58" s="23" t="n">
        <v>11</v>
      </c>
      <c r="B58" s="6" t="s">
        <v>459</v>
      </c>
      <c r="C58" s="6" t="s">
        <v>865</v>
      </c>
      <c r="D58" s="6" t="s">
        <v>870</v>
      </c>
      <c r="E58" s="6" t="s">
        <v>871</v>
      </c>
      <c r="F58" s="6" t="s">
        <v>55</v>
      </c>
    </row>
    <row r="59" customFormat="false" ht="15" hidden="false" customHeight="false" outlineLevel="0" collapsed="false">
      <c r="A59" s="23" t="n">
        <v>11</v>
      </c>
      <c r="B59" s="6" t="s">
        <v>459</v>
      </c>
      <c r="C59" s="6" t="s">
        <v>865</v>
      </c>
      <c r="D59" s="6" t="s">
        <v>872</v>
      </c>
      <c r="E59" s="6" t="s">
        <v>873</v>
      </c>
      <c r="F59" s="6" t="s">
        <v>55</v>
      </c>
    </row>
    <row r="60" customFormat="false" ht="15" hidden="false" customHeight="false" outlineLevel="0" collapsed="false">
      <c r="A60" s="23" t="n">
        <v>11</v>
      </c>
      <c r="B60" s="6" t="s">
        <v>459</v>
      </c>
      <c r="C60" s="6" t="s">
        <v>865</v>
      </c>
      <c r="D60" s="6" t="s">
        <v>874</v>
      </c>
      <c r="E60" s="6" t="s">
        <v>875</v>
      </c>
      <c r="F60" s="6" t="s">
        <v>876</v>
      </c>
    </row>
    <row r="61" customFormat="false" ht="23.85" hidden="false" customHeight="false" outlineLevel="0" collapsed="false">
      <c r="A61" s="23" t="n">
        <v>12</v>
      </c>
      <c r="B61" s="6" t="s">
        <v>467</v>
      </c>
      <c r="C61" s="6" t="s">
        <v>877</v>
      </c>
      <c r="D61" s="6" t="s">
        <v>769</v>
      </c>
      <c r="E61" s="6" t="s">
        <v>878</v>
      </c>
      <c r="F61" s="6" t="s">
        <v>879</v>
      </c>
    </row>
    <row r="62" customFormat="false" ht="23.85" hidden="false" customHeight="false" outlineLevel="0" collapsed="false">
      <c r="A62" s="23" t="n">
        <v>12</v>
      </c>
      <c r="B62" s="6" t="s">
        <v>467</v>
      </c>
      <c r="C62" s="6" t="s">
        <v>877</v>
      </c>
      <c r="D62" s="6" t="s">
        <v>772</v>
      </c>
      <c r="E62" s="6" t="s">
        <v>880</v>
      </c>
      <c r="F62" s="6" t="s">
        <v>763</v>
      </c>
    </row>
    <row r="63" customFormat="false" ht="23.85" hidden="false" customHeight="false" outlineLevel="0" collapsed="false">
      <c r="A63" s="23" t="n">
        <v>12</v>
      </c>
      <c r="B63" s="6" t="s">
        <v>467</v>
      </c>
      <c r="C63" s="6" t="s">
        <v>877</v>
      </c>
      <c r="D63" s="6" t="s">
        <v>881</v>
      </c>
      <c r="E63" s="6" t="s">
        <v>882</v>
      </c>
      <c r="F63" s="6" t="s">
        <v>55</v>
      </c>
    </row>
    <row r="64" customFormat="false" ht="23.85" hidden="false" customHeight="false" outlineLevel="0" collapsed="false">
      <c r="A64" s="23" t="n">
        <v>12</v>
      </c>
      <c r="B64" s="6" t="s">
        <v>467</v>
      </c>
      <c r="C64" s="6" t="s">
        <v>877</v>
      </c>
      <c r="D64" s="6" t="s">
        <v>883</v>
      </c>
      <c r="E64" s="6" t="s">
        <v>884</v>
      </c>
      <c r="F64" s="6" t="s">
        <v>55</v>
      </c>
    </row>
    <row r="65" customFormat="false" ht="15" hidden="false" customHeight="false" outlineLevel="0" collapsed="false">
      <c r="A65" s="23" t="n">
        <v>13</v>
      </c>
      <c r="B65" s="6" t="s">
        <v>474</v>
      </c>
      <c r="C65" s="6" t="s">
        <v>757</v>
      </c>
      <c r="D65" s="6" t="s">
        <v>769</v>
      </c>
      <c r="E65" s="6" t="s">
        <v>885</v>
      </c>
      <c r="F65" s="6" t="s">
        <v>886</v>
      </c>
    </row>
    <row r="66" customFormat="false" ht="15" hidden="false" customHeight="false" outlineLevel="0" collapsed="false">
      <c r="A66" s="23" t="n">
        <v>13</v>
      </c>
      <c r="B66" s="6" t="s">
        <v>474</v>
      </c>
      <c r="C66" s="6" t="s">
        <v>757</v>
      </c>
      <c r="D66" s="6" t="s">
        <v>796</v>
      </c>
      <c r="E66" s="6" t="s">
        <v>887</v>
      </c>
      <c r="F66" s="6" t="s">
        <v>55</v>
      </c>
    </row>
    <row r="67" customFormat="false" ht="15" hidden="false" customHeight="false" outlineLevel="0" collapsed="false">
      <c r="A67" s="23" t="n">
        <v>13</v>
      </c>
      <c r="B67" s="6" t="s">
        <v>474</v>
      </c>
      <c r="C67" s="6" t="s">
        <v>757</v>
      </c>
      <c r="D67" s="6" t="s">
        <v>799</v>
      </c>
      <c r="E67" s="6" t="s">
        <v>888</v>
      </c>
      <c r="F67" s="6" t="s">
        <v>889</v>
      </c>
    </row>
    <row r="68" customFormat="false" ht="15" hidden="false" customHeight="false" outlineLevel="0" collapsed="false">
      <c r="A68" s="23" t="n">
        <v>13</v>
      </c>
      <c r="B68" s="6" t="s">
        <v>474</v>
      </c>
      <c r="C68" s="6" t="s">
        <v>757</v>
      </c>
      <c r="D68" s="6" t="s">
        <v>883</v>
      </c>
      <c r="E68" s="6" t="s">
        <v>890</v>
      </c>
      <c r="F68" s="6" t="s">
        <v>55</v>
      </c>
    </row>
    <row r="69" customFormat="false" ht="23.85" hidden="false" customHeight="false" outlineLevel="0" collapsed="false">
      <c r="A69" s="23" t="n">
        <v>14</v>
      </c>
      <c r="B69" s="6" t="s">
        <v>481</v>
      </c>
      <c r="C69" s="6" t="s">
        <v>891</v>
      </c>
      <c r="D69" s="6" t="s">
        <v>769</v>
      </c>
      <c r="E69" s="6" t="s">
        <v>892</v>
      </c>
      <c r="F69" s="6" t="s">
        <v>893</v>
      </c>
    </row>
    <row r="70" customFormat="false" ht="23.85" hidden="false" customHeight="false" outlineLevel="0" collapsed="false">
      <c r="A70" s="23" t="n">
        <v>14</v>
      </c>
      <c r="B70" s="6" t="s">
        <v>481</v>
      </c>
      <c r="C70" s="6" t="s">
        <v>891</v>
      </c>
      <c r="D70" s="6" t="s">
        <v>812</v>
      </c>
      <c r="E70" s="6" t="s">
        <v>894</v>
      </c>
      <c r="F70" s="6" t="s">
        <v>55</v>
      </c>
    </row>
    <row r="71" customFormat="false" ht="23.85" hidden="false" customHeight="false" outlineLevel="0" collapsed="false">
      <c r="A71" s="23" t="n">
        <v>14</v>
      </c>
      <c r="B71" s="6" t="s">
        <v>481</v>
      </c>
      <c r="C71" s="6" t="s">
        <v>891</v>
      </c>
      <c r="D71" s="6" t="s">
        <v>895</v>
      </c>
      <c r="E71" s="6" t="s">
        <v>896</v>
      </c>
      <c r="F71" s="6" t="s">
        <v>897</v>
      </c>
    </row>
    <row r="72" customFormat="false" ht="23.85" hidden="false" customHeight="false" outlineLevel="0" collapsed="false">
      <c r="A72" s="23" t="n">
        <v>14</v>
      </c>
      <c r="B72" s="6" t="s">
        <v>481</v>
      </c>
      <c r="C72" s="6" t="s">
        <v>891</v>
      </c>
      <c r="D72" s="6" t="s">
        <v>898</v>
      </c>
      <c r="E72" s="6" t="s">
        <v>899</v>
      </c>
      <c r="F72" s="6" t="s">
        <v>900</v>
      </c>
    </row>
    <row r="73" customFormat="false" ht="23.85" hidden="false" customHeight="false" outlineLevel="0" collapsed="false">
      <c r="A73" s="23" t="n">
        <v>15</v>
      </c>
      <c r="B73" s="6" t="s">
        <v>492</v>
      </c>
      <c r="C73" s="6" t="s">
        <v>901</v>
      </c>
      <c r="D73" s="6" t="s">
        <v>746</v>
      </c>
      <c r="E73" s="6" t="s">
        <v>902</v>
      </c>
      <c r="F73" s="6"/>
    </row>
    <row r="74" customFormat="false" ht="15" hidden="false" customHeight="false" outlineLevel="0" collapsed="false">
      <c r="A74" s="23" t="n">
        <v>15</v>
      </c>
      <c r="B74" s="6" t="s">
        <v>492</v>
      </c>
      <c r="C74" s="6" t="s">
        <v>901</v>
      </c>
      <c r="D74" s="6" t="s">
        <v>903</v>
      </c>
      <c r="E74" s="6" t="s">
        <v>904</v>
      </c>
      <c r="F74" s="6"/>
    </row>
    <row r="75" customFormat="false" ht="15" hidden="false" customHeight="false" outlineLevel="0" collapsed="false">
      <c r="A75" s="23" t="n">
        <v>15</v>
      </c>
      <c r="B75" s="6" t="s">
        <v>492</v>
      </c>
      <c r="C75" s="6" t="s">
        <v>901</v>
      </c>
      <c r="D75" s="6" t="s">
        <v>905</v>
      </c>
      <c r="E75" s="6" t="s">
        <v>906</v>
      </c>
      <c r="F75" s="6"/>
    </row>
    <row r="76" customFormat="false" ht="15" hidden="false" customHeight="false" outlineLevel="0" collapsed="false">
      <c r="A76" s="23" t="n">
        <v>15</v>
      </c>
      <c r="B76" s="6" t="s">
        <v>492</v>
      </c>
      <c r="C76" s="6" t="s">
        <v>901</v>
      </c>
      <c r="D76" s="6" t="s">
        <v>907</v>
      </c>
      <c r="E76" s="6" t="s">
        <v>908</v>
      </c>
      <c r="F76" s="6"/>
    </row>
    <row r="77" customFormat="false" ht="15" hidden="false" customHeight="false" outlineLevel="0" collapsed="false">
      <c r="A77" s="23" t="n">
        <v>16</v>
      </c>
      <c r="B77" s="6" t="s">
        <v>500</v>
      </c>
      <c r="C77" s="6" t="s">
        <v>909</v>
      </c>
      <c r="D77" s="6" t="s">
        <v>769</v>
      </c>
      <c r="E77" s="6" t="s">
        <v>910</v>
      </c>
      <c r="F77" s="6" t="s">
        <v>911</v>
      </c>
    </row>
    <row r="78" customFormat="false" ht="15" hidden="false" customHeight="false" outlineLevel="0" collapsed="false">
      <c r="A78" s="23" t="n">
        <v>16</v>
      </c>
      <c r="B78" s="6" t="s">
        <v>500</v>
      </c>
      <c r="C78" s="6" t="s">
        <v>909</v>
      </c>
      <c r="D78" s="6" t="s">
        <v>812</v>
      </c>
      <c r="E78" s="6" t="s">
        <v>912</v>
      </c>
      <c r="F78" s="6" t="s">
        <v>913</v>
      </c>
    </row>
    <row r="79" customFormat="false" ht="15" hidden="false" customHeight="false" outlineLevel="0" collapsed="false">
      <c r="A79" s="23" t="n">
        <v>16</v>
      </c>
      <c r="B79" s="6" t="s">
        <v>500</v>
      </c>
      <c r="C79" s="6" t="s">
        <v>909</v>
      </c>
      <c r="D79" s="6" t="s">
        <v>739</v>
      </c>
      <c r="E79" s="6" t="s">
        <v>914</v>
      </c>
      <c r="F79" s="6" t="s">
        <v>915</v>
      </c>
    </row>
    <row r="80" customFormat="false" ht="23.85" hidden="false" customHeight="false" outlineLevel="0" collapsed="false">
      <c r="A80" s="23" t="n">
        <v>17</v>
      </c>
      <c r="B80" s="6" t="s">
        <v>508</v>
      </c>
      <c r="C80" s="6" t="s">
        <v>916</v>
      </c>
      <c r="D80" s="6" t="s">
        <v>917</v>
      </c>
      <c r="E80" s="6" t="s">
        <v>918</v>
      </c>
      <c r="F80" s="6"/>
    </row>
    <row r="81" customFormat="false" ht="15" hidden="false" customHeight="false" outlineLevel="0" collapsed="false">
      <c r="A81" s="23" t="n">
        <v>17</v>
      </c>
      <c r="B81" s="6" t="s">
        <v>508</v>
      </c>
      <c r="C81" s="6" t="s">
        <v>916</v>
      </c>
      <c r="D81" s="6" t="s">
        <v>919</v>
      </c>
      <c r="E81" s="6" t="s">
        <v>920</v>
      </c>
      <c r="F81" s="6"/>
    </row>
    <row r="82" customFormat="false" ht="15" hidden="false" customHeight="false" outlineLevel="0" collapsed="false">
      <c r="A82" s="23" t="n">
        <v>17</v>
      </c>
      <c r="B82" s="6" t="s">
        <v>508</v>
      </c>
      <c r="C82" s="6" t="s">
        <v>916</v>
      </c>
      <c r="D82" s="6" t="s">
        <v>921</v>
      </c>
      <c r="E82" s="6" t="s">
        <v>922</v>
      </c>
      <c r="F82" s="6"/>
    </row>
    <row r="83" customFormat="false" ht="15" hidden="false" customHeight="false" outlineLevel="0" collapsed="false">
      <c r="A83" s="23" t="n">
        <v>17</v>
      </c>
      <c r="B83" s="6" t="s">
        <v>508</v>
      </c>
      <c r="C83" s="6" t="s">
        <v>916</v>
      </c>
      <c r="D83" s="6" t="s">
        <v>856</v>
      </c>
      <c r="E83" s="6" t="s">
        <v>923</v>
      </c>
      <c r="F83" s="6"/>
    </row>
    <row r="84" customFormat="false" ht="23.85" hidden="false" customHeight="false" outlineLevel="0" collapsed="false">
      <c r="A84" s="23" t="n">
        <v>17</v>
      </c>
      <c r="B84" s="6" t="s">
        <v>508</v>
      </c>
      <c r="C84" s="6" t="s">
        <v>916</v>
      </c>
      <c r="D84" s="6" t="s">
        <v>778</v>
      </c>
      <c r="E84" s="6" t="s">
        <v>924</v>
      </c>
      <c r="F84" s="6"/>
    </row>
    <row r="85" customFormat="false" ht="15" hidden="false" customHeight="false" outlineLevel="0" collapsed="false">
      <c r="A85" s="23" t="n">
        <v>18</v>
      </c>
      <c r="B85" s="6" t="s">
        <v>517</v>
      </c>
      <c r="C85" s="6" t="s">
        <v>925</v>
      </c>
      <c r="D85" s="6" t="s">
        <v>769</v>
      </c>
      <c r="E85" s="6" t="s">
        <v>926</v>
      </c>
      <c r="F85" s="6"/>
    </row>
    <row r="86" customFormat="false" ht="15" hidden="false" customHeight="false" outlineLevel="0" collapsed="false">
      <c r="A86" s="23" t="n">
        <v>18</v>
      </c>
      <c r="B86" s="6" t="s">
        <v>517</v>
      </c>
      <c r="C86" s="6" t="s">
        <v>925</v>
      </c>
      <c r="D86" s="6" t="s">
        <v>927</v>
      </c>
      <c r="E86" s="6" t="s">
        <v>928</v>
      </c>
      <c r="F86" s="6"/>
    </row>
    <row r="87" customFormat="false" ht="15" hidden="false" customHeight="false" outlineLevel="0" collapsed="false">
      <c r="A87" s="23" t="n">
        <v>18</v>
      </c>
      <c r="B87" s="6" t="s">
        <v>517</v>
      </c>
      <c r="C87" s="6" t="s">
        <v>925</v>
      </c>
      <c r="D87" s="6" t="s">
        <v>929</v>
      </c>
      <c r="E87" s="6" t="s">
        <v>930</v>
      </c>
      <c r="F87" s="6"/>
    </row>
    <row r="88" customFormat="false" ht="23.85" hidden="false" customHeight="false" outlineLevel="0" collapsed="false">
      <c r="A88" s="23" t="n">
        <v>18</v>
      </c>
      <c r="B88" s="6" t="s">
        <v>517</v>
      </c>
      <c r="C88" s="6" t="s">
        <v>925</v>
      </c>
      <c r="D88" s="6" t="s">
        <v>931</v>
      </c>
      <c r="E88" s="6" t="s">
        <v>932</v>
      </c>
      <c r="F88" s="6"/>
    </row>
    <row r="89" customFormat="false" ht="23.85" hidden="false" customHeight="false" outlineLevel="0" collapsed="false">
      <c r="A89" s="23" t="n">
        <v>18</v>
      </c>
      <c r="B89" s="6" t="s">
        <v>517</v>
      </c>
      <c r="C89" s="6" t="s">
        <v>925</v>
      </c>
      <c r="D89" s="6" t="s">
        <v>933</v>
      </c>
      <c r="E89" s="6" t="s">
        <v>934</v>
      </c>
      <c r="F89" s="6"/>
    </row>
    <row r="90" customFormat="false" ht="15" hidden="false" customHeight="false" outlineLevel="0" collapsed="false">
      <c r="A90" s="23" t="n">
        <v>18</v>
      </c>
      <c r="B90" s="6" t="s">
        <v>517</v>
      </c>
      <c r="C90" s="6" t="s">
        <v>925</v>
      </c>
      <c r="D90" s="6" t="s">
        <v>935</v>
      </c>
      <c r="E90" s="6" t="s">
        <v>936</v>
      </c>
      <c r="F90" s="6"/>
    </row>
    <row r="91" customFormat="false" ht="23.85" hidden="false" customHeight="false" outlineLevel="0" collapsed="false">
      <c r="A91" s="23" t="n">
        <v>19</v>
      </c>
      <c r="B91" s="6" t="s">
        <v>525</v>
      </c>
      <c r="C91" s="6" t="s">
        <v>937</v>
      </c>
      <c r="D91" s="6" t="s">
        <v>769</v>
      </c>
      <c r="E91" s="6" t="s">
        <v>938</v>
      </c>
      <c r="F91" s="6" t="s">
        <v>939</v>
      </c>
    </row>
    <row r="92" customFormat="false" ht="23.85" hidden="false" customHeight="false" outlineLevel="0" collapsed="false">
      <c r="A92" s="23" t="n">
        <v>19</v>
      </c>
      <c r="B92" s="6" t="s">
        <v>525</v>
      </c>
      <c r="C92" s="6" t="s">
        <v>937</v>
      </c>
      <c r="D92" s="6" t="s">
        <v>796</v>
      </c>
      <c r="E92" s="6" t="s">
        <v>940</v>
      </c>
      <c r="F92" s="6" t="s">
        <v>55</v>
      </c>
    </row>
    <row r="93" customFormat="false" ht="23.85" hidden="false" customHeight="false" outlineLevel="0" collapsed="false">
      <c r="A93" s="23" t="n">
        <v>19</v>
      </c>
      <c r="B93" s="6" t="s">
        <v>525</v>
      </c>
      <c r="C93" s="6" t="s">
        <v>937</v>
      </c>
      <c r="D93" s="6" t="s">
        <v>941</v>
      </c>
      <c r="E93" s="6" t="s">
        <v>942</v>
      </c>
      <c r="F93" s="6" t="s">
        <v>55</v>
      </c>
    </row>
    <row r="94" customFormat="false" ht="23.85" hidden="false" customHeight="false" outlineLevel="0" collapsed="false">
      <c r="A94" s="23" t="n">
        <v>19</v>
      </c>
      <c r="B94" s="6" t="s">
        <v>525</v>
      </c>
      <c r="C94" s="6" t="s">
        <v>937</v>
      </c>
      <c r="D94" s="6" t="s">
        <v>943</v>
      </c>
      <c r="E94" s="6" t="s">
        <v>944</v>
      </c>
      <c r="F94" s="6" t="s">
        <v>55</v>
      </c>
    </row>
    <row r="95" customFormat="false" ht="23.85" hidden="false" customHeight="false" outlineLevel="0" collapsed="false">
      <c r="A95" s="23" t="n">
        <v>19</v>
      </c>
      <c r="B95" s="6" t="s">
        <v>525</v>
      </c>
      <c r="C95" s="6" t="s">
        <v>937</v>
      </c>
      <c r="D95" s="6" t="s">
        <v>834</v>
      </c>
      <c r="E95" s="6" t="s">
        <v>945</v>
      </c>
      <c r="F95" s="6" t="s">
        <v>946</v>
      </c>
    </row>
    <row r="96" customFormat="false" ht="23.85" hidden="false" customHeight="false" outlineLevel="0" collapsed="false">
      <c r="A96" s="23" t="n">
        <v>19</v>
      </c>
      <c r="B96" s="6" t="s">
        <v>525</v>
      </c>
      <c r="C96" s="6" t="s">
        <v>937</v>
      </c>
      <c r="D96" s="6" t="s">
        <v>947</v>
      </c>
      <c r="E96" s="6" t="s">
        <v>948</v>
      </c>
      <c r="F96" s="6" t="s">
        <v>55</v>
      </c>
    </row>
    <row r="97" customFormat="false" ht="23.85" hidden="false" customHeight="false" outlineLevel="0" collapsed="false">
      <c r="A97" s="23" t="n">
        <v>20</v>
      </c>
      <c r="B97" s="6" t="s">
        <v>533</v>
      </c>
      <c r="C97" s="6" t="s">
        <v>949</v>
      </c>
      <c r="D97" s="6" t="s">
        <v>769</v>
      </c>
      <c r="E97" s="6" t="s">
        <v>950</v>
      </c>
      <c r="F97" s="6"/>
    </row>
    <row r="98" customFormat="false" ht="23.85" hidden="false" customHeight="false" outlineLevel="0" collapsed="false">
      <c r="A98" s="23" t="n">
        <v>20</v>
      </c>
      <c r="B98" s="6" t="s">
        <v>533</v>
      </c>
      <c r="C98" s="6" t="s">
        <v>949</v>
      </c>
      <c r="D98" s="6" t="s">
        <v>951</v>
      </c>
      <c r="E98" s="6" t="s">
        <v>952</v>
      </c>
      <c r="F98" s="6"/>
    </row>
    <row r="99" customFormat="false" ht="23.85" hidden="false" customHeight="false" outlineLevel="0" collapsed="false">
      <c r="A99" s="23" t="n">
        <v>20</v>
      </c>
      <c r="B99" s="6" t="s">
        <v>533</v>
      </c>
      <c r="C99" s="6" t="s">
        <v>949</v>
      </c>
      <c r="D99" s="6" t="s">
        <v>953</v>
      </c>
      <c r="E99" s="6" t="s">
        <v>954</v>
      </c>
      <c r="F99" s="6"/>
    </row>
  </sheetData>
  <autoFilter ref="A1:F99"/>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36"/>
    <col collapsed="false" customWidth="true" hidden="false" outlineLevel="0" max="4" min="4" style="0" width="34"/>
    <col collapsed="false" customWidth="true" hidden="false" outlineLevel="0" max="5" min="5" style="0" width="100"/>
  </cols>
  <sheetData>
    <row r="1" customFormat="false" ht="15" hidden="false" customHeight="false" outlineLevel="0" collapsed="false">
      <c r="A1" s="4" t="s">
        <v>358</v>
      </c>
      <c r="B1" s="4" t="s">
        <v>359</v>
      </c>
      <c r="C1" s="4" t="s">
        <v>360</v>
      </c>
      <c r="D1" s="4" t="s">
        <v>287</v>
      </c>
      <c r="E1" s="4" t="s">
        <v>955</v>
      </c>
    </row>
    <row r="2" customFormat="false" ht="46.25" hidden="false" customHeight="false" outlineLevel="0" collapsed="false">
      <c r="A2" s="23" t="n">
        <v>1</v>
      </c>
      <c r="B2" s="6" t="s">
        <v>956</v>
      </c>
      <c r="C2" s="24" t="s">
        <v>957</v>
      </c>
      <c r="D2" s="6" t="s">
        <v>958</v>
      </c>
      <c r="E2" s="6" t="s">
        <v>959</v>
      </c>
    </row>
    <row r="3" customFormat="false" ht="46.25" hidden="false" customHeight="false" outlineLevel="0" collapsed="false">
      <c r="A3" s="23" t="n">
        <v>2</v>
      </c>
      <c r="B3" s="6" t="s">
        <v>956</v>
      </c>
      <c r="C3" s="24" t="s">
        <v>960</v>
      </c>
      <c r="D3" s="6" t="s">
        <v>961</v>
      </c>
      <c r="E3" s="6" t="s">
        <v>962</v>
      </c>
    </row>
    <row r="4" customFormat="false" ht="23.85" hidden="false" customHeight="false" outlineLevel="0" collapsed="false">
      <c r="A4" s="23" t="n">
        <v>3</v>
      </c>
      <c r="B4" s="6" t="s">
        <v>956</v>
      </c>
      <c r="C4" s="24" t="s">
        <v>389</v>
      </c>
      <c r="D4" s="6"/>
      <c r="E4" s="6" t="s">
        <v>963</v>
      </c>
    </row>
    <row r="5" customFormat="false" ht="68.65" hidden="false" customHeight="false" outlineLevel="0" collapsed="false">
      <c r="A5" s="23" t="n">
        <v>4</v>
      </c>
      <c r="B5" s="6" t="s">
        <v>964</v>
      </c>
      <c r="C5" s="24" t="s">
        <v>965</v>
      </c>
      <c r="D5" s="6"/>
      <c r="E5" s="6" t="s">
        <v>966</v>
      </c>
    </row>
    <row r="6" customFormat="false" ht="35.05" hidden="false" customHeight="false" outlineLevel="0" collapsed="false">
      <c r="A6" s="23" t="n">
        <v>5</v>
      </c>
      <c r="B6" s="6" t="s">
        <v>964</v>
      </c>
      <c r="C6" s="24" t="s">
        <v>967</v>
      </c>
      <c r="D6" s="6"/>
      <c r="E6" s="6" t="s">
        <v>968</v>
      </c>
    </row>
    <row r="7" customFormat="false" ht="46.25" hidden="false" customHeight="false" outlineLevel="0" collapsed="false">
      <c r="A7" s="23" t="n">
        <v>6</v>
      </c>
      <c r="B7" s="6" t="s">
        <v>964</v>
      </c>
      <c r="C7" s="24" t="s">
        <v>969</v>
      </c>
      <c r="D7" s="6"/>
      <c r="E7" s="6" t="s">
        <v>970</v>
      </c>
    </row>
    <row r="8" customFormat="false" ht="46.25" hidden="false" customHeight="false" outlineLevel="0" collapsed="false">
      <c r="A8" s="23" t="n">
        <v>7</v>
      </c>
      <c r="B8" s="6" t="s">
        <v>971</v>
      </c>
      <c r="C8" s="24" t="s">
        <v>441</v>
      </c>
      <c r="D8" s="6"/>
      <c r="E8" s="6" t="s">
        <v>972</v>
      </c>
    </row>
    <row r="9" customFormat="false" ht="23.85" hidden="false" customHeight="false" outlineLevel="0" collapsed="false">
      <c r="A9" s="23" t="n">
        <v>8</v>
      </c>
      <c r="B9" s="6" t="s">
        <v>971</v>
      </c>
      <c r="C9" s="24" t="s">
        <v>973</v>
      </c>
      <c r="D9" s="6"/>
      <c r="E9" s="6" t="s">
        <v>974</v>
      </c>
    </row>
    <row r="10" customFormat="false" ht="23.85" hidden="false" customHeight="false" outlineLevel="0" collapsed="false">
      <c r="A10" s="23" t="n">
        <v>9</v>
      </c>
      <c r="B10" s="6" t="s">
        <v>971</v>
      </c>
      <c r="C10" s="24" t="s">
        <v>975</v>
      </c>
      <c r="D10" s="6"/>
      <c r="E10" s="6" t="s">
        <v>976</v>
      </c>
    </row>
    <row r="11" customFormat="false" ht="23.85" hidden="false" customHeight="false" outlineLevel="0" collapsed="false">
      <c r="A11" s="23" t="n">
        <v>10</v>
      </c>
      <c r="B11" s="6" t="s">
        <v>977</v>
      </c>
      <c r="C11" s="24" t="s">
        <v>978</v>
      </c>
      <c r="D11" s="6" t="s">
        <v>979</v>
      </c>
      <c r="E11" s="6" t="s">
        <v>980</v>
      </c>
    </row>
    <row r="12" customFormat="false" ht="23.85" hidden="false" customHeight="false" outlineLevel="0" collapsed="false">
      <c r="A12" s="23" t="n">
        <v>11</v>
      </c>
      <c r="B12" s="6" t="s">
        <v>977</v>
      </c>
      <c r="C12" s="24" t="s">
        <v>981</v>
      </c>
      <c r="D12" s="6" t="s">
        <v>982</v>
      </c>
      <c r="E12" s="6" t="s">
        <v>983</v>
      </c>
    </row>
    <row r="13" customFormat="false" ht="23.85" hidden="false" customHeight="false" outlineLevel="0" collapsed="false">
      <c r="A13" s="23" t="n">
        <v>12</v>
      </c>
      <c r="B13" s="6" t="s">
        <v>977</v>
      </c>
      <c r="C13" s="24" t="s">
        <v>482</v>
      </c>
      <c r="D13" s="6" t="s">
        <v>984</v>
      </c>
      <c r="E13" s="6" t="s">
        <v>985</v>
      </c>
    </row>
    <row r="14" customFormat="false" ht="23.85" hidden="false" customHeight="false" outlineLevel="0" collapsed="false">
      <c r="A14" s="23" t="n">
        <v>13</v>
      </c>
      <c r="B14" s="6" t="s">
        <v>977</v>
      </c>
      <c r="C14" s="24" t="s">
        <v>986</v>
      </c>
      <c r="D14" s="6" t="s">
        <v>987</v>
      </c>
      <c r="E14" s="6" t="s">
        <v>988</v>
      </c>
    </row>
    <row r="15" customFormat="false" ht="46.25" hidden="false" customHeight="false" outlineLevel="0" collapsed="false">
      <c r="A15" s="23" t="n">
        <v>14</v>
      </c>
      <c r="B15" s="6" t="s">
        <v>989</v>
      </c>
      <c r="C15" s="24" t="s">
        <v>990</v>
      </c>
      <c r="D15" s="6"/>
      <c r="E15" s="6" t="s">
        <v>991</v>
      </c>
    </row>
    <row r="16" customFormat="false" ht="23.85" hidden="false" customHeight="false" outlineLevel="0" collapsed="false">
      <c r="A16" s="23" t="n">
        <v>15</v>
      </c>
      <c r="B16" s="6" t="s">
        <v>989</v>
      </c>
      <c r="C16" s="24" t="s">
        <v>992</v>
      </c>
      <c r="D16" s="6"/>
      <c r="E16" s="6" t="s">
        <v>993</v>
      </c>
    </row>
    <row r="17" customFormat="false" ht="23.85" hidden="false" customHeight="false" outlineLevel="0" collapsed="false">
      <c r="A17" s="23" t="n">
        <v>16</v>
      </c>
      <c r="B17" s="6" t="s">
        <v>994</v>
      </c>
      <c r="C17" s="24" t="s">
        <v>995</v>
      </c>
      <c r="D17" s="6" t="s">
        <v>996</v>
      </c>
      <c r="E17" s="6"/>
    </row>
    <row r="18" customFormat="false" ht="23.85" hidden="false" customHeight="false" outlineLevel="0" collapsed="false">
      <c r="A18" s="23" t="n">
        <v>17</v>
      </c>
      <c r="B18" s="6" t="s">
        <v>994</v>
      </c>
      <c r="C18" s="24" t="s">
        <v>997</v>
      </c>
      <c r="D18" s="6" t="s">
        <v>998</v>
      </c>
      <c r="E18" s="6"/>
    </row>
    <row r="19" customFormat="false" ht="23.85" hidden="false" customHeight="false" outlineLevel="0" collapsed="false">
      <c r="A19" s="23" t="n">
        <v>18</v>
      </c>
      <c r="B19" s="6" t="s">
        <v>994</v>
      </c>
      <c r="C19" s="24" t="s">
        <v>999</v>
      </c>
      <c r="D19" s="6" t="s">
        <v>1000</v>
      </c>
      <c r="E19" s="6"/>
    </row>
    <row r="20" customFormat="false" ht="23.85" hidden="false" customHeight="false" outlineLevel="0" collapsed="false">
      <c r="A20" s="23" t="n">
        <v>19</v>
      </c>
      <c r="B20" s="6" t="s">
        <v>994</v>
      </c>
      <c r="C20" s="24" t="s">
        <v>1001</v>
      </c>
      <c r="D20" s="6" t="s">
        <v>1002</v>
      </c>
      <c r="E20" s="6"/>
    </row>
    <row r="21" customFormat="false" ht="46.25" hidden="false" customHeight="false" outlineLevel="0" collapsed="false">
      <c r="A21" s="23" t="n">
        <v>20</v>
      </c>
      <c r="B21" s="6" t="s">
        <v>994</v>
      </c>
      <c r="C21" s="24" t="s">
        <v>1003</v>
      </c>
      <c r="D21" s="6" t="s">
        <v>1004</v>
      </c>
      <c r="E21" s="6"/>
    </row>
    <row r="22" customFormat="false" ht="35.05" hidden="false" customHeight="false" outlineLevel="0" collapsed="false">
      <c r="A22" s="23" t="n">
        <v>21</v>
      </c>
      <c r="B22" s="6" t="s">
        <v>1005</v>
      </c>
      <c r="C22" s="24" t="s">
        <v>1006</v>
      </c>
      <c r="D22" s="6"/>
      <c r="E22" s="6" t="s">
        <v>1007</v>
      </c>
    </row>
    <row r="23" customFormat="false" ht="23.85" hidden="false" customHeight="false" outlineLevel="0" collapsed="false">
      <c r="A23" s="23" t="n">
        <v>22</v>
      </c>
      <c r="B23" s="6" t="s">
        <v>1008</v>
      </c>
      <c r="C23" s="24" t="s">
        <v>1009</v>
      </c>
      <c r="D23" s="6" t="s">
        <v>1010</v>
      </c>
      <c r="E23" s="6"/>
    </row>
    <row r="24" customFormat="false" ht="23.85" hidden="false" customHeight="false" outlineLevel="0" collapsed="false">
      <c r="A24" s="23" t="n">
        <v>23</v>
      </c>
      <c r="B24" s="6" t="s">
        <v>1008</v>
      </c>
      <c r="C24" s="24" t="s">
        <v>1011</v>
      </c>
      <c r="D24" s="6" t="s">
        <v>1012</v>
      </c>
      <c r="E24" s="6"/>
    </row>
    <row r="25" customFormat="false" ht="35.05" hidden="false" customHeight="false" outlineLevel="0" collapsed="false">
      <c r="A25" s="23" t="n">
        <v>24</v>
      </c>
      <c r="B25" s="6" t="s">
        <v>1008</v>
      </c>
      <c r="C25" s="24" t="s">
        <v>1013</v>
      </c>
      <c r="D25" s="6" t="s">
        <v>1014</v>
      </c>
      <c r="E25" s="6"/>
    </row>
    <row r="26" customFormat="false" ht="23.85" hidden="false" customHeight="false" outlineLevel="0" collapsed="false">
      <c r="A26" s="23" t="n">
        <v>25</v>
      </c>
      <c r="B26" s="6" t="s">
        <v>1008</v>
      </c>
      <c r="C26" s="24" t="s">
        <v>1015</v>
      </c>
      <c r="D26" s="6" t="s">
        <v>1016</v>
      </c>
      <c r="E26" s="6"/>
    </row>
    <row r="28" customFormat="false" ht="15" hidden="false" customHeight="false" outlineLevel="0" collapsed="false">
      <c r="A28" s="3" t="s">
        <v>96</v>
      </c>
      <c r="B28" s="3"/>
      <c r="C28" s="3"/>
      <c r="D28" s="3"/>
      <c r="E28" s="3"/>
    </row>
    <row r="29" customFormat="false" ht="30" hidden="false" customHeight="true" outlineLevel="0" collapsed="false">
      <c r="B29" s="24" t="s">
        <v>1017</v>
      </c>
      <c r="C29" s="6" t="s">
        <v>1018</v>
      </c>
      <c r="D29" s="6"/>
      <c r="E29" s="6"/>
    </row>
    <row r="30" customFormat="false" ht="16.5" hidden="false" customHeight="true" outlineLevel="0" collapsed="false">
      <c r="B30" s="24" t="s">
        <v>994</v>
      </c>
      <c r="C30" s="6" t="s">
        <v>1019</v>
      </c>
      <c r="D30" s="6"/>
      <c r="E30" s="6"/>
    </row>
  </sheetData>
  <autoFilter ref="A1:E26"/>
  <mergeCells count="2">
    <mergeCell ref="C29:E29"/>
    <mergeCell ref="C30:E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J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2"/>
    <col collapsed="false" customWidth="true" hidden="false" outlineLevel="0" max="4" min="4" style="0" width="8"/>
    <col collapsed="false" customWidth="true" hidden="false" outlineLevel="0" max="5" min="5" style="0" width="42"/>
    <col collapsed="false" customWidth="true" hidden="false" outlineLevel="0" max="6" min="6" style="0" width="24"/>
    <col collapsed="false" customWidth="true" hidden="false" outlineLevel="0" max="7" min="7" style="0" width="26"/>
    <col collapsed="false" customWidth="true" hidden="false" outlineLevel="0" max="8" min="8" style="0" width="12"/>
    <col collapsed="false" customWidth="true" hidden="false" outlineLevel="0" max="10" min="9" style="0" width="40"/>
  </cols>
  <sheetData>
    <row r="1" customFormat="false" ht="24" hidden="false" customHeight="true" outlineLevel="0" collapsed="false">
      <c r="A1" s="1" t="s">
        <v>1020</v>
      </c>
    </row>
    <row r="2" customFormat="false" ht="15" hidden="false" customHeight="false" outlineLevel="0" collapsed="false">
      <c r="A2" s="2" t="s">
        <v>1021</v>
      </c>
    </row>
    <row r="3" customFormat="false" ht="15" hidden="false" customHeight="false" outlineLevel="0" collapsed="false">
      <c r="A3" s="10" t="s">
        <v>1022</v>
      </c>
      <c r="B3" s="19" t="n">
        <f aca="false">COUNTIF(H5:H28,"Posted")</f>
        <v>0</v>
      </c>
      <c r="C3" s="25" t="s">
        <v>1023</v>
      </c>
      <c r="D3" s="19" t="n">
        <f aca="false">COUNTA(D5:D28)</f>
        <v>24</v>
      </c>
    </row>
    <row r="4" customFormat="false" ht="15" hidden="false" customHeight="false" outlineLevel="0" collapsed="false">
      <c r="A4" s="4" t="s">
        <v>1024</v>
      </c>
      <c r="B4" s="4" t="s">
        <v>1025</v>
      </c>
      <c r="C4" s="4" t="s">
        <v>1026</v>
      </c>
      <c r="D4" s="4" t="s">
        <v>1027</v>
      </c>
      <c r="E4" s="4" t="s">
        <v>360</v>
      </c>
      <c r="F4" s="4" t="s">
        <v>359</v>
      </c>
      <c r="G4" s="4" t="s">
        <v>370</v>
      </c>
      <c r="H4" s="4" t="s">
        <v>1028</v>
      </c>
      <c r="I4" s="4" t="s">
        <v>1029</v>
      </c>
      <c r="J4" s="4" t="s">
        <v>1030</v>
      </c>
    </row>
    <row r="5" customFormat="false" ht="15" hidden="false" customHeight="false" outlineLevel="0" collapsed="false">
      <c r="A5" s="23" t="n">
        <v>1</v>
      </c>
      <c r="B5" s="26" t="n">
        <v>46321</v>
      </c>
      <c r="C5" s="6" t="str">
        <f aca="false">TEXT(B5,"dddd")</f>
        <v>Monday</v>
      </c>
      <c r="D5" s="27" t="n">
        <v>1</v>
      </c>
      <c r="E5" s="6" t="str">
        <f aca="false">IFERROR(INDEX('20 Ideas'!$C$2:$C$21,MATCH(D5,'20 Ideas'!$A$2:$A$21,0)),"")</f>
        <v>"Ce camion part pour [ville]"</v>
      </c>
      <c r="F5" s="6" t="str">
        <f aca="false">IFERROR(INDEX('20 Ideas'!$B$2:$B$21,MATCH(D5,'20 Ideas'!$A$2:$A$21,0)),"")</f>
        <v>Stock, trucks, colours</v>
      </c>
      <c r="G5" s="6" t="str">
        <f aca="false">IFERROR(INDEX('20 Ideas'!$M$2:$M$21,MATCH(D5,'20 Ideas'!$A$2:$A$21,0)),"")</f>
        <v>Stock &amp; trucks</v>
      </c>
      <c r="H5" s="28" t="s">
        <v>1031</v>
      </c>
      <c r="I5" s="28"/>
      <c r="J5" s="6"/>
    </row>
    <row r="6" customFormat="false" ht="23.85" hidden="false" customHeight="false" outlineLevel="0" collapsed="false">
      <c r="A6" s="23" t="n">
        <v>1</v>
      </c>
      <c r="B6" s="26" t="n">
        <v>46323</v>
      </c>
      <c r="C6" s="6" t="str">
        <f aca="false">TEXT(B6,"dddd")</f>
        <v>Wednesday</v>
      </c>
      <c r="D6" s="27" t="n">
        <v>5</v>
      </c>
      <c r="E6" s="6" t="str">
        <f aca="false">IFERROR(INDEX('20 Ideas'!$C$2:$C$21,MATCH(D6,'20 Ideas'!$A$2:$A$21,0)),"")</f>
        <v>"L'astuce du comptoir" (series)</v>
      </c>
      <c r="F6" s="6" t="str">
        <f aca="false">IFERROR(INDEX('20 Ideas'!$B$2:$B$21,MATCH(D6,'20 Ideas'!$A$2:$A$21,0)),"")</f>
        <v>Counter tips (your most-saved format)</v>
      </c>
      <c r="G6" s="6" t="str">
        <f aca="false">IFERROR(INDEX('20 Ideas'!$M$2:$M$21,MATCH(D6,'20 Ideas'!$A$2:$A$21,0)),"")</f>
        <v>Counter</v>
      </c>
      <c r="H6" s="28" t="s">
        <v>1031</v>
      </c>
      <c r="I6" s="28"/>
      <c r="J6" s="6"/>
    </row>
    <row r="7" customFormat="false" ht="15" hidden="false" customHeight="false" outlineLevel="0" collapsed="false">
      <c r="A7" s="23" t="n">
        <v>1</v>
      </c>
      <c r="B7" s="26" t="n">
        <v>46325</v>
      </c>
      <c r="C7" s="6" t="str">
        <f aca="false">TEXT(B7,"dddd")</f>
        <v>Friday</v>
      </c>
      <c r="D7" s="27" t="n">
        <v>2</v>
      </c>
      <c r="E7" s="6" t="str">
        <f aca="false">IFERROR(INDEX('20 Ideas'!$C$2:$C$21,MATCH(D7,'20 Ideas'!$A$2:$A$21,0)),"")</f>
        <v>"Même profil, 6 teintes"</v>
      </c>
      <c r="F7" s="6" t="str">
        <f aca="false">IFERROR(INDEX('20 Ideas'!$B$2:$B$21,MATCH(D7,'20 Ideas'!$A$2:$A$21,0)),"")</f>
        <v>Stock, trucks, colours</v>
      </c>
      <c r="G7" s="6" t="str">
        <f aca="false">IFERROR(INDEX('20 Ideas'!$M$2:$M$21,MATCH(D7,'20 Ideas'!$A$2:$A$21,0)),"")</f>
        <v>Stock &amp; trucks</v>
      </c>
      <c r="H7" s="28" t="s">
        <v>1031</v>
      </c>
      <c r="I7" s="28"/>
      <c r="J7" s="6"/>
    </row>
    <row r="8" customFormat="false" ht="15" hidden="false" customHeight="false" outlineLevel="0" collapsed="false">
      <c r="A8" s="23" t="n">
        <v>1</v>
      </c>
      <c r="B8" s="26" t="n">
        <v>46327</v>
      </c>
      <c r="C8" s="6" t="str">
        <f aca="false">TEXT(B8,"dddd")</f>
        <v>Sunday</v>
      </c>
      <c r="D8" s="27" t="n">
        <v>9</v>
      </c>
      <c r="E8" s="6" t="str">
        <f aca="false">IFERROR(INDEX('20 Ideas'!$C$2:$C$21,MATCH(D8,'20 Ideas'!$A$2:$A$21,0)),"")</f>
        <v>"Il hésite ? Montre-lui chez lui"</v>
      </c>
      <c r="F8" s="6" t="str">
        <f aca="false">IFERROR(INDEX('20 Ideas'!$B$2:$B$21,MATCH(D8,'20 Ideas'!$A$2:$A$21,0)),"")</f>
        <v>The 3D/AR tool</v>
      </c>
      <c r="G8" s="6" t="str">
        <f aca="false">IFERROR(INDEX('20 Ideas'!$M$2:$M$21,MATCH(D8,'20 Ideas'!$A$2:$A$21,0)),"")</f>
        <v>Screen recording</v>
      </c>
      <c r="H8" s="28" t="s">
        <v>1031</v>
      </c>
      <c r="I8" s="28"/>
      <c r="J8" s="6"/>
    </row>
    <row r="9" customFormat="false" ht="15" hidden="false" customHeight="false" outlineLevel="0" collapsed="false">
      <c r="A9" s="23" t="n">
        <v>2</v>
      </c>
      <c r="B9" s="26" t="n">
        <v>46328</v>
      </c>
      <c r="C9" s="6" t="str">
        <f aca="false">TEXT(B9,"dddd")</f>
        <v>Monday</v>
      </c>
      <c r="D9" s="27" t="n">
        <v>1</v>
      </c>
      <c r="E9" s="6" t="str">
        <f aca="false">IFERROR(INDEX('20 Ideas'!$C$2:$C$21,MATCH(D9,'20 Ideas'!$A$2:$A$21,0)),"")</f>
        <v>"Ce camion part pour [ville]"</v>
      </c>
      <c r="F9" s="6" t="str">
        <f aca="false">IFERROR(INDEX('20 Ideas'!$B$2:$B$21,MATCH(D9,'20 Ideas'!$A$2:$A$21,0)),"")</f>
        <v>Stock, trucks, colours</v>
      </c>
      <c r="G9" s="6" t="str">
        <f aca="false">IFERROR(INDEX('20 Ideas'!$M$2:$M$21,MATCH(D9,'20 Ideas'!$A$2:$A$21,0)),"")</f>
        <v>Stock &amp; trucks</v>
      </c>
      <c r="H9" s="28" t="s">
        <v>1031</v>
      </c>
      <c r="I9" s="28"/>
      <c r="J9" s="6" t="s">
        <v>1032</v>
      </c>
    </row>
    <row r="10" customFormat="false" ht="23.85" hidden="false" customHeight="false" outlineLevel="0" collapsed="false">
      <c r="A10" s="23" t="n">
        <v>2</v>
      </c>
      <c r="B10" s="26" t="n">
        <v>46330</v>
      </c>
      <c r="C10" s="6" t="str">
        <f aca="false">TEXT(B10,"dddd")</f>
        <v>Wednesday</v>
      </c>
      <c r="D10" s="27" t="n">
        <v>6</v>
      </c>
      <c r="E10" s="6" t="str">
        <f aca="false">IFERROR(INDEX('20 Ideas'!$C$2:$C$21,MATCH(D10,'20 Ideas'!$A$2:$A$21,0)),"")</f>
        <v>S70P vs S90RP in your hands</v>
      </c>
      <c r="F10" s="6" t="str">
        <f aca="false">IFERROR(INDEX('20 Ideas'!$B$2:$B$21,MATCH(D10,'20 Ideas'!$A$2:$A$21,0)),"")</f>
        <v>Counter tips (your most-saved format)</v>
      </c>
      <c r="G10" s="6" t="str">
        <f aca="false">IFERROR(INDEX('20 Ideas'!$M$2:$M$21,MATCH(D10,'20 Ideas'!$A$2:$A$21,0)),"")</f>
        <v>Counter</v>
      </c>
      <c r="H10" s="28" t="s">
        <v>1031</v>
      </c>
      <c r="I10" s="28"/>
      <c r="J10" s="6"/>
    </row>
    <row r="11" customFormat="false" ht="23.85" hidden="false" customHeight="false" outlineLevel="0" collapsed="false">
      <c r="A11" s="23" t="n">
        <v>2</v>
      </c>
      <c r="B11" s="26" t="n">
        <v>46332</v>
      </c>
      <c r="C11" s="6" t="str">
        <f aca="false">TEXT(B11,"dddd")</f>
        <v>Friday</v>
      </c>
      <c r="D11" s="27" t="n">
        <v>12</v>
      </c>
      <c r="E11" s="6" t="str">
        <f aca="false">IFERROR(INDEX('20 Ideas'!$C$2:$C$21,MATCH(D11,'20 Ideas'!$A$2:$A$21,0)),"")</f>
        <v>The window that disappears</v>
      </c>
      <c r="F11" s="6" t="str">
        <f aca="false">IFERROR(INDEX('20 Ideas'!$B$2:$B$21,MATCH(D11,'20 Ideas'!$A$2:$A$21,0)),"")</f>
        <v>"One clever mechanism"</v>
      </c>
      <c r="G11" s="6" t="str">
        <f aca="false">IFERROR(INDEX('20 Ideas'!$M$2:$M$21,MATCH(D11,'20 Ideas'!$A$2:$A$21,0)),"")</f>
        <v>Stock &amp; trucks</v>
      </c>
      <c r="H11" s="28" t="s">
        <v>1031</v>
      </c>
      <c r="I11" s="28"/>
      <c r="J11" s="6" t="s">
        <v>1033</v>
      </c>
    </row>
    <row r="12" customFormat="false" ht="15" hidden="false" customHeight="false" outlineLevel="0" collapsed="false">
      <c r="A12" s="23" t="n">
        <v>2</v>
      </c>
      <c r="B12" s="26" t="n">
        <v>46334</v>
      </c>
      <c r="C12" s="6" t="str">
        <f aca="false">TEXT(B12,"dddd")</f>
        <v>Sunday</v>
      </c>
      <c r="D12" s="27" t="n">
        <v>15</v>
      </c>
      <c r="E12" s="6" t="str">
        <f aca="false">IFERROR(INDEX('20 Ideas'!$C$2:$C$21,MATCH(D12,'20 Ideas'!$A$2:$A$21,0)),"")</f>
        <v>Integrated handle, silent reveal</v>
      </c>
      <c r="F12" s="6" t="str">
        <f aca="false">IFERROR(INDEX('20 Ideas'!$B$2:$B$21,MATCH(D12,'20 Ideas'!$A$2:$A$21,0)),"")</f>
        <v>Kitchens and dressings</v>
      </c>
      <c r="G12" s="6" t="str">
        <f aca="false">IFERROR(INDEX('20 Ideas'!$M$2:$M$21,MATCH(D12,'20 Ideas'!$A$2:$A$21,0)),"")</f>
        <v>Kitchen / dressing</v>
      </c>
      <c r="H12" s="28" t="s">
        <v>1031</v>
      </c>
      <c r="I12" s="28"/>
      <c r="J12" s="6"/>
    </row>
    <row r="13" customFormat="false" ht="23.85" hidden="false" customHeight="false" outlineLevel="0" collapsed="false">
      <c r="A13" s="23" t="n">
        <v>3</v>
      </c>
      <c r="B13" s="26" t="n">
        <v>46335</v>
      </c>
      <c r="C13" s="6" t="str">
        <f aca="false">TEXT(B13,"dddd")</f>
        <v>Monday</v>
      </c>
      <c r="D13" s="27" t="n">
        <v>7</v>
      </c>
      <c r="E13" s="6" t="str">
        <f aca="false">IFERROR(INDEX('20 Ideas'!$C$2:$C$21,MATCH(D13,'20 Ideas'!$A$2:$A$21,0)),"")</f>
        <v>Quiz: "Quel profil porte 400 kg ?"</v>
      </c>
      <c r="F13" s="6" t="str">
        <f aca="false">IFERROR(INDEX('20 Ideas'!$B$2:$B$21,MATCH(D13,'20 Ideas'!$A$2:$A$21,0)),"")</f>
        <v>Counter tips (your most-saved format)</v>
      </c>
      <c r="G13" s="6" t="str">
        <f aca="false">IFERROR(INDEX('20 Ideas'!$M$2:$M$21,MATCH(D13,'20 Ideas'!$A$2:$A$21,0)),"")</f>
        <v>Counter</v>
      </c>
      <c r="H13" s="28" t="s">
        <v>1031</v>
      </c>
      <c r="I13" s="28"/>
      <c r="J13" s="6"/>
    </row>
    <row r="14" customFormat="false" ht="23.85" hidden="false" customHeight="false" outlineLevel="0" collapsed="false">
      <c r="A14" s="23" t="n">
        <v>3</v>
      </c>
      <c r="B14" s="26" t="n">
        <v>46337</v>
      </c>
      <c r="C14" s="6" t="str">
        <f aca="false">TEXT(B14,"dddd")</f>
        <v>Wednesday</v>
      </c>
      <c r="D14" s="27" t="n">
        <v>5</v>
      </c>
      <c r="E14" s="6" t="str">
        <f aca="false">IFERROR(INDEX('20 Ideas'!$C$2:$C$21,MATCH(D14,'20 Ideas'!$A$2:$A$21,0)),"")</f>
        <v>"L'astuce du comptoir" (series)</v>
      </c>
      <c r="F14" s="6" t="str">
        <f aca="false">IFERROR(INDEX('20 Ideas'!$B$2:$B$21,MATCH(D14,'20 Ideas'!$A$2:$A$21,0)),"")</f>
        <v>Counter tips (your most-saved format)</v>
      </c>
      <c r="G14" s="6" t="str">
        <f aca="false">IFERROR(INDEX('20 Ideas'!$M$2:$M$21,MATCH(D14,'20 Ideas'!$A$2:$A$21,0)),"")</f>
        <v>Counter</v>
      </c>
      <c r="H14" s="28" t="s">
        <v>1031</v>
      </c>
      <c r="I14" s="28"/>
      <c r="J14" s="6" t="s">
        <v>1034</v>
      </c>
    </row>
    <row r="15" customFormat="false" ht="15" hidden="false" customHeight="false" outlineLevel="0" collapsed="false">
      <c r="A15" s="23" t="n">
        <v>3</v>
      </c>
      <c r="B15" s="26" t="n">
        <v>46339</v>
      </c>
      <c r="C15" s="6" t="str">
        <f aca="false">TEXT(B15,"dddd")</f>
        <v>Friday</v>
      </c>
      <c r="D15" s="27" t="n">
        <v>10</v>
      </c>
      <c r="E15" s="6" t="str">
        <f aca="false">IFERROR(INDEX('20 Ideas'!$C$2:$C$21,MATCH(D15,'20 Ideas'!$A$2:$A$21,0)),"")</f>
        <v>"Pergola configurée en 30 secondes"</v>
      </c>
      <c r="F15" s="6" t="str">
        <f aca="false">IFERROR(INDEX('20 Ideas'!$B$2:$B$21,MATCH(D15,'20 Ideas'!$A$2:$A$21,0)),"")</f>
        <v>The 3D/AR tool</v>
      </c>
      <c r="G15" s="6" t="str">
        <f aca="false">IFERROR(INDEX('20 Ideas'!$M$2:$M$21,MATCH(D15,'20 Ideas'!$A$2:$A$21,0)),"")</f>
        <v>Screen recording</v>
      </c>
      <c r="H15" s="28" t="s">
        <v>1031</v>
      </c>
      <c r="I15" s="28"/>
      <c r="J15" s="6"/>
    </row>
    <row r="16" customFormat="false" ht="15" hidden="false" customHeight="false" outlineLevel="0" collapsed="false">
      <c r="A16" s="23" t="n">
        <v>3</v>
      </c>
      <c r="B16" s="26" t="n">
        <v>46341</v>
      </c>
      <c r="C16" s="6" t="str">
        <f aca="false">TEXT(B16,"dddd")</f>
        <v>Sunday</v>
      </c>
      <c r="D16" s="27" t="n">
        <v>3</v>
      </c>
      <c r="E16" s="6" t="str">
        <f aca="false">IFERROR(INDEX('20 Ideas'!$C$2:$C$21,MATCH(D16,'20 Ideas'!$A$2:$A$21,0)),"")</f>
        <v>"Arrivage"</v>
      </c>
      <c r="F16" s="6" t="str">
        <f aca="false">IFERROR(INDEX('20 Ideas'!$B$2:$B$21,MATCH(D16,'20 Ideas'!$A$2:$A$21,0)),"")</f>
        <v>Stock, trucks, colours</v>
      </c>
      <c r="G16" s="6" t="str">
        <f aca="false">IFERROR(INDEX('20 Ideas'!$M$2:$M$21,MATCH(D16,'20 Ideas'!$A$2:$A$21,0)),"")</f>
        <v>Stock &amp; trucks</v>
      </c>
      <c r="H16" s="28" t="s">
        <v>1031</v>
      </c>
      <c r="I16" s="28"/>
      <c r="J16" s="6"/>
    </row>
    <row r="17" customFormat="false" ht="15" hidden="false" customHeight="false" outlineLevel="0" collapsed="false">
      <c r="A17" s="23" t="n">
        <v>4</v>
      </c>
      <c r="B17" s="26" t="n">
        <v>46342</v>
      </c>
      <c r="C17" s="6" t="str">
        <f aca="false">TEXT(B17,"dddd")</f>
        <v>Monday</v>
      </c>
      <c r="D17" s="27" t="n">
        <v>1</v>
      </c>
      <c r="E17" s="6" t="str">
        <f aca="false">IFERROR(INDEX('20 Ideas'!$C$2:$C$21,MATCH(D17,'20 Ideas'!$A$2:$A$21,0)),"")</f>
        <v>"Ce camion part pour [ville]"</v>
      </c>
      <c r="F17" s="6" t="str">
        <f aca="false">IFERROR(INDEX('20 Ideas'!$B$2:$B$21,MATCH(D17,'20 Ideas'!$A$2:$A$21,0)),"")</f>
        <v>Stock, trucks, colours</v>
      </c>
      <c r="G17" s="6" t="str">
        <f aca="false">IFERROR(INDEX('20 Ideas'!$M$2:$M$21,MATCH(D17,'20 Ideas'!$A$2:$A$21,0)),"")</f>
        <v>Stock &amp; trucks</v>
      </c>
      <c r="H17" s="28" t="s">
        <v>1031</v>
      </c>
      <c r="I17" s="28"/>
      <c r="J17" s="6" t="s">
        <v>1032</v>
      </c>
    </row>
    <row r="18" customFormat="false" ht="23.85" hidden="false" customHeight="false" outlineLevel="0" collapsed="false">
      <c r="A18" s="23" t="n">
        <v>4</v>
      </c>
      <c r="B18" s="26" t="n">
        <v>46344</v>
      </c>
      <c r="C18" s="6" t="str">
        <f aca="false">TEXT(B18,"dddd")</f>
        <v>Wednesday</v>
      </c>
      <c r="D18" s="27" t="n">
        <v>8</v>
      </c>
      <c r="E18" s="6" t="str">
        <f aca="false">IFERROR(INDEX('20 Ideas'!$C$2:$C$21,MATCH(D18,'20 Ideas'!$A$2:$A$21,0)),"")</f>
        <v>"Pourquoi deux devis sont différents"</v>
      </c>
      <c r="F18" s="6" t="str">
        <f aca="false">IFERROR(INDEX('20 Ideas'!$B$2:$B$21,MATCH(D18,'20 Ideas'!$A$2:$A$21,0)),"")</f>
        <v>Counter tips (your most-saved format)</v>
      </c>
      <c r="G18" s="6" t="str">
        <f aca="false">IFERROR(INDEX('20 Ideas'!$M$2:$M$21,MATCH(D18,'20 Ideas'!$A$2:$A$21,0)),"")</f>
        <v>Counter</v>
      </c>
      <c r="H18" s="28" t="s">
        <v>1031</v>
      </c>
      <c r="I18" s="28"/>
      <c r="J18" s="6"/>
    </row>
    <row r="19" customFormat="false" ht="15" hidden="false" customHeight="false" outlineLevel="0" collapsed="false">
      <c r="A19" s="23" t="n">
        <v>4</v>
      </c>
      <c r="B19" s="26" t="n">
        <v>46346</v>
      </c>
      <c r="C19" s="6" t="str">
        <f aca="false">TEXT(B19,"dddd")</f>
        <v>Friday</v>
      </c>
      <c r="D19" s="27" t="n">
        <v>13</v>
      </c>
      <c r="E19" s="6" t="str">
        <f aca="false">IFERROR(INDEX('20 Ideas'!$C$2:$C$21,MATCH(D19,'20 Ideas'!$A$2:$A$21,0)),"")</f>
        <v>The thinnest frame (S86RP)</v>
      </c>
      <c r="F19" s="6" t="str">
        <f aca="false">IFERROR(INDEX('20 Ideas'!$B$2:$B$21,MATCH(D19,'20 Ideas'!$A$2:$A$21,0)),"")</f>
        <v>"One clever mechanism"</v>
      </c>
      <c r="G19" s="6" t="str">
        <f aca="false">IFERROR(INDEX('20 Ideas'!$M$2:$M$21,MATCH(D19,'20 Ideas'!$A$2:$A$21,0)),"")</f>
        <v>Stock &amp; trucks</v>
      </c>
      <c r="H19" s="28" t="s">
        <v>1031</v>
      </c>
      <c r="I19" s="28"/>
      <c r="J19" s="6"/>
    </row>
    <row r="20" customFormat="false" ht="15" hidden="false" customHeight="false" outlineLevel="0" collapsed="false">
      <c r="A20" s="23" t="n">
        <v>4</v>
      </c>
      <c r="B20" s="26" t="n">
        <v>46348</v>
      </c>
      <c r="C20" s="6" t="str">
        <f aca="false">TEXT(B20,"dddd")</f>
        <v>Sunday</v>
      </c>
      <c r="D20" s="27" t="n">
        <v>20</v>
      </c>
      <c r="E20" s="6" t="str">
        <f aca="false">IFERROR(INDEX('20 Ideas'!$C$2:$C$21,MATCH(D20,'20 Ideas'!$A$2:$A$21,0)),"")</f>
        <v>Reply video to a menuisier's comment</v>
      </c>
      <c r="F20" s="6" t="str">
        <f aca="false">IFERROR(INDEX('20 Ideas'!$B$2:$B$21,MATCH(D20,'20 Ideas'!$A$2:$A$21,0)),"")</f>
        <v>Humour, trust and replies</v>
      </c>
      <c r="G20" s="6" t="str">
        <f aca="false">IFERROR(INDEX('20 Ideas'!$M$2:$M$21,MATCH(D20,'20 Ideas'!$A$2:$A$21,0)),"")</f>
        <v>Counter</v>
      </c>
      <c r="H20" s="28" t="s">
        <v>1031</v>
      </c>
      <c r="I20" s="28"/>
      <c r="J20" s="6"/>
    </row>
    <row r="21" customFormat="false" ht="23.85" hidden="false" customHeight="false" outlineLevel="0" collapsed="false">
      <c r="A21" s="23" t="n">
        <v>5</v>
      </c>
      <c r="B21" s="26" t="n">
        <v>46349</v>
      </c>
      <c r="C21" s="6" t="str">
        <f aca="false">TEXT(B21,"dddd")</f>
        <v>Monday</v>
      </c>
      <c r="D21" s="27" t="n">
        <v>11</v>
      </c>
      <c r="E21" s="6" t="str">
        <f aca="false">IFERROR(INDEX('20 Ideas'!$C$2:$C$21,MATCH(D21,'20 Ideas'!$A$2:$A$21,0)),"")</f>
        <v>A menuisier and his client</v>
      </c>
      <c r="F21" s="6" t="str">
        <f aca="false">IFERROR(INDEX('20 Ideas'!$B$2:$B$21,MATCH(D21,'20 Ideas'!$A$2:$A$21,0)),"")</f>
        <v>The 3D/AR tool</v>
      </c>
      <c r="G21" s="6" t="str">
        <f aca="false">IFERROR(INDEX('20 Ideas'!$M$2:$M$21,MATCH(D21,'20 Ideas'!$A$2:$A$21,0)),"")</f>
        <v>Ask a favour (3 customer workshops)</v>
      </c>
      <c r="H21" s="28" t="s">
        <v>1031</v>
      </c>
      <c r="I21" s="28"/>
      <c r="J21" s="6" t="s">
        <v>1035</v>
      </c>
    </row>
    <row r="22" customFormat="false" ht="23.85" hidden="false" customHeight="false" outlineLevel="0" collapsed="false">
      <c r="A22" s="23" t="n">
        <v>5</v>
      </c>
      <c r="B22" s="26" t="n">
        <v>46351</v>
      </c>
      <c r="C22" s="6" t="str">
        <f aca="false">TEXT(B22,"dddd")</f>
        <v>Wednesday</v>
      </c>
      <c r="D22" s="27" t="n">
        <v>5</v>
      </c>
      <c r="E22" s="6" t="str">
        <f aca="false">IFERROR(INDEX('20 Ideas'!$C$2:$C$21,MATCH(D22,'20 Ideas'!$A$2:$A$21,0)),"")</f>
        <v>"L'astuce du comptoir" (series)</v>
      </c>
      <c r="F22" s="6" t="str">
        <f aca="false">IFERROR(INDEX('20 Ideas'!$B$2:$B$21,MATCH(D22,'20 Ideas'!$A$2:$A$21,0)),"")</f>
        <v>Counter tips (your most-saved format)</v>
      </c>
      <c r="G22" s="6" t="str">
        <f aca="false">IFERROR(INDEX('20 Ideas'!$M$2:$M$21,MATCH(D22,'20 Ideas'!$A$2:$A$21,0)),"")</f>
        <v>Counter</v>
      </c>
      <c r="H22" s="28" t="s">
        <v>1031</v>
      </c>
      <c r="I22" s="28"/>
      <c r="J22" s="6" t="s">
        <v>1036</v>
      </c>
    </row>
    <row r="23" customFormat="false" ht="23.85" hidden="false" customHeight="false" outlineLevel="0" collapsed="false">
      <c r="A23" s="23" t="n">
        <v>5</v>
      </c>
      <c r="B23" s="26" t="n">
        <v>46353</v>
      </c>
      <c r="C23" s="6" t="str">
        <f aca="false">TEXT(B23,"dddd")</f>
        <v>Friday</v>
      </c>
      <c r="D23" s="27" t="n">
        <v>19</v>
      </c>
      <c r="E23" s="6" t="str">
        <f aca="false">IFERROR(INDEX('20 Ideas'!$C$2:$C$21,MATCH(D23,'20 Ideas'!$A$2:$A$21,0)),"")</f>
        <v>"Touchez avant de commander" (Sefrou showroom)</v>
      </c>
      <c r="F23" s="6" t="str">
        <f aca="false">IFERROR(INDEX('20 Ideas'!$B$2:$B$21,MATCH(D23,'20 Ideas'!$A$2:$A$21,0)),"")</f>
        <v>Humour, trust and replies</v>
      </c>
      <c r="G23" s="6" t="str">
        <f aca="false">IFERROR(INDEX('20 Ideas'!$M$2:$M$21,MATCH(D23,'20 Ideas'!$A$2:$A$21,0)),"")</f>
        <v>Counter</v>
      </c>
      <c r="H23" s="28" t="s">
        <v>1031</v>
      </c>
      <c r="I23" s="28"/>
      <c r="J23" s="6"/>
    </row>
    <row r="24" customFormat="false" ht="15" hidden="false" customHeight="false" outlineLevel="0" collapsed="false">
      <c r="A24" s="23" t="n">
        <v>5</v>
      </c>
      <c r="B24" s="26" t="n">
        <v>46355</v>
      </c>
      <c r="C24" s="6" t="str">
        <f aca="false">TEXT(B24,"dddd")</f>
        <v>Sunday</v>
      </c>
      <c r="D24" s="27" t="n">
        <v>16</v>
      </c>
      <c r="E24" s="6" t="str">
        <f aca="false">IFERROR(INDEX('20 Ideas'!$C$2:$C$21,MATCH(D24,'20 Ideas'!$A$2:$A$21,0)),"")</f>
        <v>One dressing, three finishes</v>
      </c>
      <c r="F24" s="6" t="str">
        <f aca="false">IFERROR(INDEX('20 Ideas'!$B$2:$B$21,MATCH(D24,'20 Ideas'!$A$2:$A$21,0)),"")</f>
        <v>Kitchens and dressings</v>
      </c>
      <c r="G24" s="6" t="str">
        <f aca="false">IFERROR(INDEX('20 Ideas'!$M$2:$M$21,MATCH(D24,'20 Ideas'!$A$2:$A$21,0)),"")</f>
        <v>Kitchen / dressing</v>
      </c>
      <c r="H24" s="28" t="s">
        <v>1031</v>
      </c>
      <c r="I24" s="28"/>
      <c r="J24" s="6" t="s">
        <v>1037</v>
      </c>
    </row>
    <row r="25" customFormat="false" ht="15" hidden="false" customHeight="false" outlineLevel="0" collapsed="false">
      <c r="A25" s="23" t="n">
        <v>6</v>
      </c>
      <c r="B25" s="26" t="n">
        <v>46356</v>
      </c>
      <c r="C25" s="6" t="str">
        <f aca="false">TEXT(B25,"dddd")</f>
        <v>Monday</v>
      </c>
      <c r="D25" s="27" t="n">
        <v>1</v>
      </c>
      <c r="E25" s="6" t="str">
        <f aca="false">IFERROR(INDEX('20 Ideas'!$C$2:$C$21,MATCH(D25,'20 Ideas'!$A$2:$A$21,0)),"")</f>
        <v>"Ce camion part pour [ville]"</v>
      </c>
      <c r="F25" s="6" t="str">
        <f aca="false">IFERROR(INDEX('20 Ideas'!$B$2:$B$21,MATCH(D25,'20 Ideas'!$A$2:$A$21,0)),"")</f>
        <v>Stock, trucks, colours</v>
      </c>
      <c r="G25" s="6" t="str">
        <f aca="false">IFERROR(INDEX('20 Ideas'!$M$2:$M$21,MATCH(D25,'20 Ideas'!$A$2:$A$21,0)),"")</f>
        <v>Stock &amp; trucks</v>
      </c>
      <c r="H25" s="28" t="s">
        <v>1031</v>
      </c>
      <c r="I25" s="28"/>
      <c r="J25" s="6" t="s">
        <v>1032</v>
      </c>
    </row>
    <row r="26" customFormat="false" ht="15" hidden="false" customHeight="false" outlineLevel="0" collapsed="false">
      <c r="A26" s="23" t="n">
        <v>6</v>
      </c>
      <c r="B26" s="26" t="n">
        <v>46358</v>
      </c>
      <c r="C26" s="6" t="str">
        <f aca="false">TEXT(B26,"dddd")</f>
        <v>Wednesday</v>
      </c>
      <c r="D26" s="27" t="n">
        <v>18</v>
      </c>
      <c r="E26" s="6" t="str">
        <f aca="false">IFERROR(INDEX('20 Ideas'!$C$2:$C$21,MATCH(D26,'20 Ideas'!$A$2:$A$21,0)),"")</f>
        <v>"L'aluminium rouille ?"</v>
      </c>
      <c r="F26" s="6" t="str">
        <f aca="false">IFERROR(INDEX('20 Ideas'!$B$2:$B$21,MATCH(D26,'20 Ideas'!$A$2:$A$21,0)),"")</f>
        <v>Humour, trust and replies</v>
      </c>
      <c r="G26" s="6" t="str">
        <f aca="false">IFERROR(INDEX('20 Ideas'!$M$2:$M$21,MATCH(D26,'20 Ideas'!$A$2:$A$21,0)),"")</f>
        <v>Try later</v>
      </c>
      <c r="H26" s="28" t="s">
        <v>1031</v>
      </c>
      <c r="I26" s="28"/>
      <c r="J26" s="6"/>
    </row>
    <row r="27" customFormat="false" ht="15" hidden="false" customHeight="false" outlineLevel="0" collapsed="false">
      <c r="A27" s="23" t="n">
        <v>6</v>
      </c>
      <c r="B27" s="26" t="n">
        <v>46360</v>
      </c>
      <c r="C27" s="6" t="str">
        <f aca="false">TEXT(B27,"dddd")</f>
        <v>Friday</v>
      </c>
      <c r="D27" s="27" t="n">
        <v>17</v>
      </c>
      <c r="E27" s="6" t="str">
        <f aca="false">IFERROR(INDEX('20 Ideas'!$C$2:$C$21,MATCH(D27,'20 Ideas'!$A$2:$A$21,0)),"")</f>
        <v>Skit: "un petit coulissant"</v>
      </c>
      <c r="F27" s="6" t="str">
        <f aca="false">IFERROR(INDEX('20 Ideas'!$B$2:$B$21,MATCH(D27,'20 Ideas'!$A$2:$A$21,0)),"")</f>
        <v>Humour, trust and replies</v>
      </c>
      <c r="G27" s="6" t="str">
        <f aca="false">IFERROR(INDEX('20 Ideas'!$M$2:$M$21,MATCH(D27,'20 Ideas'!$A$2:$A$21,0)),"")</f>
        <v>Try later</v>
      </c>
      <c r="H27" s="28" t="s">
        <v>1031</v>
      </c>
      <c r="I27" s="28"/>
      <c r="J27" s="6"/>
    </row>
    <row r="28" customFormat="false" ht="15" hidden="false" customHeight="false" outlineLevel="0" collapsed="false">
      <c r="A28" s="23" t="n">
        <v>6</v>
      </c>
      <c r="B28" s="26" t="n">
        <v>46362</v>
      </c>
      <c r="C28" s="6" t="str">
        <f aca="false">TEXT(B28,"dddd")</f>
        <v>Sunday</v>
      </c>
      <c r="D28" s="27" t="n">
        <v>4</v>
      </c>
      <c r="E28" s="6" t="str">
        <f aca="false">IFERROR(INDEX('20 Ideas'!$C$2:$C$21,MATCH(D28,'20 Ideas'!$A$2:$A$21,0)),"")</f>
        <v>Folding mosquito net in three colours</v>
      </c>
      <c r="F28" s="6" t="str">
        <f aca="false">IFERROR(INDEX('20 Ideas'!$B$2:$B$21,MATCH(D28,'20 Ideas'!$A$2:$A$21,0)),"")</f>
        <v>Stock, trucks, colours</v>
      </c>
      <c r="G28" s="6" t="str">
        <f aca="false">IFERROR(INDEX('20 Ideas'!$M$2:$M$21,MATCH(D28,'20 Ideas'!$A$2:$A$21,0)),"")</f>
        <v>Stock &amp; trucks</v>
      </c>
      <c r="H28" s="28" t="s">
        <v>1031</v>
      </c>
      <c r="I28" s="28"/>
      <c r="J28" s="6" t="s">
        <v>1038</v>
      </c>
    </row>
    <row r="30" customFormat="false" ht="15" hidden="false" customHeight="false" outlineLevel="0" collapsed="false">
      <c r="A30" s="3" t="s">
        <v>1039</v>
      </c>
      <c r="B30" s="3"/>
      <c r="C30" s="3"/>
      <c r="D30" s="3"/>
      <c r="E30" s="3"/>
      <c r="F30" s="3"/>
      <c r="G30" s="3"/>
      <c r="H30" s="3"/>
      <c r="I30" s="3"/>
      <c r="J30" s="3"/>
    </row>
    <row r="31" customFormat="false" ht="15" hidden="false" customHeight="false" outlineLevel="0" collapsed="false">
      <c r="E31" s="4" t="s">
        <v>1040</v>
      </c>
      <c r="F31" s="4" t="s">
        <v>728</v>
      </c>
      <c r="G31" s="4" t="s">
        <v>1041</v>
      </c>
    </row>
    <row r="32" customFormat="false" ht="23.85" hidden="false" customHeight="false" outlineLevel="0" collapsed="false">
      <c r="E32" s="6" t="s">
        <v>380</v>
      </c>
      <c r="F32" s="6" t="s">
        <v>1042</v>
      </c>
      <c r="G32" s="6" t="s">
        <v>1043</v>
      </c>
    </row>
    <row r="33" customFormat="false" ht="15" hidden="false" customHeight="false" outlineLevel="0" collapsed="false">
      <c r="E33" s="6" t="s">
        <v>414</v>
      </c>
      <c r="F33" s="6" t="s">
        <v>1042</v>
      </c>
      <c r="G33" s="6" t="s">
        <v>1044</v>
      </c>
    </row>
    <row r="34" customFormat="false" ht="15" hidden="false" customHeight="false" outlineLevel="0" collapsed="false">
      <c r="E34" s="6" t="s">
        <v>450</v>
      </c>
      <c r="F34" s="6" t="s">
        <v>1045</v>
      </c>
      <c r="G34" s="6" t="s">
        <v>1046</v>
      </c>
    </row>
    <row r="35" customFormat="false" ht="15" hidden="false" customHeight="false" outlineLevel="0" collapsed="false">
      <c r="E35" s="6" t="s">
        <v>1047</v>
      </c>
      <c r="F35" s="6" t="s">
        <v>1045</v>
      </c>
      <c r="G35" s="6" t="s">
        <v>1048</v>
      </c>
    </row>
    <row r="36" customFormat="false" ht="15" hidden="false" customHeight="false" outlineLevel="0" collapsed="false">
      <c r="E36" s="6" t="s">
        <v>1049</v>
      </c>
      <c r="F36" s="6" t="s">
        <v>1050</v>
      </c>
      <c r="G36" s="6" t="s">
        <v>1051</v>
      </c>
    </row>
    <row r="37" customFormat="false" ht="23.85" hidden="false" customHeight="false" outlineLevel="0" collapsed="false">
      <c r="E37" s="6" t="s">
        <v>516</v>
      </c>
      <c r="F37" s="6"/>
      <c r="G37" s="6" t="s">
        <v>1052</v>
      </c>
    </row>
    <row r="39" customFormat="false" ht="15" hidden="false" customHeight="false" outlineLevel="0" collapsed="false">
      <c r="A39" s="3" t="s">
        <v>1053</v>
      </c>
      <c r="B39" s="3"/>
      <c r="C39" s="3"/>
      <c r="D39" s="3"/>
      <c r="E39" s="3"/>
      <c r="F39" s="3"/>
      <c r="G39" s="3"/>
      <c r="H39" s="3"/>
      <c r="I39" s="3"/>
      <c r="J39" s="3"/>
    </row>
    <row r="40" customFormat="false" ht="42" hidden="false" customHeight="true" outlineLevel="0" collapsed="false">
      <c r="B40" s="20" t="s">
        <v>1054</v>
      </c>
      <c r="C40" s="20"/>
      <c r="D40" s="20"/>
      <c r="E40" s="20"/>
      <c r="F40" s="20"/>
      <c r="G40" s="20"/>
      <c r="H40" s="20"/>
    </row>
    <row r="41" customFormat="false" ht="42" hidden="false" customHeight="true" outlineLevel="0" collapsed="false">
      <c r="B41" s="20" t="s">
        <v>1055</v>
      </c>
      <c r="C41" s="20"/>
      <c r="D41" s="20"/>
      <c r="E41" s="20"/>
      <c r="F41" s="20"/>
      <c r="G41" s="20"/>
      <c r="H41" s="20"/>
    </row>
  </sheetData>
  <mergeCells count="2">
    <mergeCell ref="B40:H40"/>
    <mergeCell ref="B41:H41"/>
  </mergeCells>
  <conditionalFormatting sqref="H5:H28">
    <cfRule type="cellIs" priority="2" operator="equal" aboveAverage="0" equalAverage="0" bottom="0" percent="0" rank="0" text="" dxfId="3">
      <formula>"Posted"</formula>
    </cfRule>
  </conditionalFormatting>
  <dataValidations count="1">
    <dataValidation allowBlank="false" errorStyle="stop" operator="between" showDropDown="false" showErrorMessage="false" showInputMessage="false" sqref="H5:H28" type="list">
      <formula1>"Planned,Filmed,Edited,Posted"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40"/>
  </cols>
  <sheetData>
    <row r="1" customFormat="false" ht="24" hidden="false" customHeight="true" outlineLevel="0" collapsed="false">
      <c r="A1" s="1" t="s">
        <v>1056</v>
      </c>
    </row>
    <row r="2" customFormat="false" ht="15" hidden="false" customHeight="false" outlineLevel="0" collapsed="false">
      <c r="A2" s="2" t="s">
        <v>1057</v>
      </c>
    </row>
    <row r="4" customFormat="false" ht="16.5" hidden="false" customHeight="true" outlineLevel="0" collapsed="false">
      <c r="A4" s="20" t="s">
        <v>1058</v>
      </c>
      <c r="B4" s="20"/>
      <c r="C4" s="20"/>
      <c r="D4" s="20"/>
      <c r="E4" s="20"/>
    </row>
    <row r="5" customFormat="false" ht="15" hidden="false" customHeight="false" outlineLevel="0" collapsed="false">
      <c r="A5" s="4" t="s">
        <v>1024</v>
      </c>
      <c r="B5" s="4" t="s">
        <v>1059</v>
      </c>
      <c r="C5" s="4" t="s">
        <v>1060</v>
      </c>
      <c r="D5" s="4" t="s">
        <v>1061</v>
      </c>
      <c r="E5" s="4" t="s">
        <v>1062</v>
      </c>
    </row>
    <row r="6" customFormat="false" ht="15" hidden="false" customHeight="false" outlineLevel="0" collapsed="false">
      <c r="A6" s="6" t="s">
        <v>1063</v>
      </c>
      <c r="B6" s="6" t="s">
        <v>1064</v>
      </c>
      <c r="C6" s="6" t="s">
        <v>1065</v>
      </c>
      <c r="D6" s="6" t="s">
        <v>1066</v>
      </c>
      <c r="E6" s="6" t="s">
        <v>1067</v>
      </c>
    </row>
    <row r="7" customFormat="false" ht="15" hidden="false" customHeight="false" outlineLevel="0" collapsed="false">
      <c r="A7" s="6" t="s">
        <v>1068</v>
      </c>
      <c r="B7" s="6" t="s">
        <v>1069</v>
      </c>
      <c r="C7" s="6" t="s">
        <v>1070</v>
      </c>
      <c r="D7" s="6" t="s">
        <v>1071</v>
      </c>
      <c r="E7" s="6" t="s">
        <v>1072</v>
      </c>
    </row>
    <row r="8" customFormat="false" ht="15" hidden="false" customHeight="false" outlineLevel="0" collapsed="false">
      <c r="A8" s="6" t="s">
        <v>1073</v>
      </c>
      <c r="B8" s="6" t="s">
        <v>1074</v>
      </c>
      <c r="C8" s="6" t="s">
        <v>1075</v>
      </c>
      <c r="D8" s="6" t="s">
        <v>1069</v>
      </c>
      <c r="E8" s="6" t="s">
        <v>1076</v>
      </c>
    </row>
    <row r="9" customFormat="false" ht="15" hidden="false" customHeight="false" outlineLevel="0" collapsed="false">
      <c r="A9" s="6" t="s">
        <v>1077</v>
      </c>
      <c r="B9" s="6" t="s">
        <v>1078</v>
      </c>
      <c r="C9" s="6" t="s">
        <v>1079</v>
      </c>
      <c r="D9" s="6" t="s">
        <v>1080</v>
      </c>
      <c r="E9" s="6" t="s">
        <v>1081</v>
      </c>
    </row>
    <row r="11" customFormat="false" ht="16.5" hidden="false" customHeight="true" outlineLevel="0" collapsed="false">
      <c r="A11" s="20" t="s">
        <v>1082</v>
      </c>
      <c r="B11" s="20"/>
      <c r="C11" s="20"/>
      <c r="D11" s="20"/>
      <c r="E11" s="20"/>
    </row>
    <row r="12" customFormat="false" ht="16.5" hidden="false" customHeight="true" outlineLevel="0" collapsed="false">
      <c r="A12" s="20" t="s">
        <v>1083</v>
      </c>
      <c r="B12" s="20"/>
      <c r="C12" s="20"/>
      <c r="D12" s="20"/>
      <c r="E12" s="20"/>
    </row>
    <row r="13" customFormat="false" ht="16.5" hidden="false" customHeight="true" outlineLevel="0" collapsed="false">
      <c r="A13" s="20" t="s">
        <v>1084</v>
      </c>
      <c r="B13" s="20"/>
      <c r="C13" s="20"/>
      <c r="D13" s="20"/>
      <c r="E13" s="20"/>
    </row>
    <row r="14" customFormat="false" ht="16.5" hidden="false" customHeight="true" outlineLevel="0" collapsed="false">
      <c r="A14" s="20" t="s">
        <v>1085</v>
      </c>
      <c r="B14" s="20"/>
      <c r="C14" s="20"/>
      <c r="D14" s="20"/>
      <c r="E14" s="20"/>
    </row>
    <row r="15" customFormat="false" ht="16.5" hidden="false" customHeight="true" outlineLevel="0" collapsed="false">
      <c r="A15" s="20" t="s">
        <v>1086</v>
      </c>
      <c r="B15" s="20"/>
      <c r="C15" s="20"/>
      <c r="D15" s="20"/>
      <c r="E15" s="20"/>
    </row>
    <row r="16" customFormat="false" ht="16.5" hidden="false" customHeight="true" outlineLevel="0" collapsed="false">
      <c r="A16" s="20" t="s">
        <v>1087</v>
      </c>
      <c r="B16" s="20"/>
      <c r="C16" s="20"/>
      <c r="D16" s="20"/>
      <c r="E16" s="20"/>
    </row>
    <row r="17" customFormat="false" ht="16.5" hidden="false" customHeight="true" outlineLevel="0" collapsed="false">
      <c r="A17" s="20" t="s">
        <v>1088</v>
      </c>
      <c r="B17" s="20"/>
      <c r="C17" s="20"/>
      <c r="D17" s="20"/>
      <c r="E17" s="20"/>
    </row>
    <row r="18" customFormat="false" ht="16.5" hidden="false" customHeight="true" outlineLevel="0" collapsed="false">
      <c r="A18" s="20" t="s">
        <v>1089</v>
      </c>
      <c r="B18" s="20"/>
      <c r="C18" s="20"/>
      <c r="D18" s="20"/>
      <c r="E18" s="20"/>
    </row>
    <row r="19" customFormat="false" ht="16.5" hidden="false" customHeight="true" outlineLevel="0" collapsed="false">
      <c r="A19" s="20" t="s">
        <v>1090</v>
      </c>
      <c r="B19" s="20"/>
      <c r="C19" s="20"/>
      <c r="D19" s="20"/>
      <c r="E19" s="20"/>
    </row>
    <row r="20" customFormat="false" ht="16.5" hidden="false" customHeight="true" outlineLevel="0" collapsed="false">
      <c r="A20" s="20" t="s">
        <v>1091</v>
      </c>
      <c r="B20" s="20"/>
      <c r="C20" s="20"/>
      <c r="D20" s="20"/>
      <c r="E20" s="20"/>
    </row>
    <row r="21" customFormat="false" ht="16.5" hidden="false" customHeight="true" outlineLevel="0" collapsed="false">
      <c r="A21" s="20" t="s">
        <v>1092</v>
      </c>
      <c r="B21" s="20"/>
      <c r="C21" s="20"/>
      <c r="D21" s="20"/>
      <c r="E21" s="20"/>
    </row>
    <row r="22" customFormat="false" ht="16.5" hidden="false" customHeight="true" outlineLevel="0" collapsed="false">
      <c r="A22" s="20" t="s">
        <v>1093</v>
      </c>
      <c r="B22" s="20"/>
      <c r="C22" s="20"/>
      <c r="D22" s="20"/>
      <c r="E22" s="20"/>
    </row>
    <row r="23" customFormat="false" ht="16.5" hidden="false" customHeight="true" outlineLevel="0" collapsed="false">
      <c r="A23" s="20" t="s">
        <v>1094</v>
      </c>
      <c r="B23" s="20"/>
      <c r="C23" s="20"/>
      <c r="D23" s="20"/>
      <c r="E23" s="20"/>
    </row>
    <row r="24" customFormat="false" ht="16.5" hidden="false" customHeight="true" outlineLevel="0" collapsed="false">
      <c r="A24" s="20" t="s">
        <v>1095</v>
      </c>
      <c r="B24" s="20"/>
      <c r="C24" s="20"/>
      <c r="D24" s="20"/>
      <c r="E24" s="20"/>
    </row>
    <row r="25" customFormat="false" ht="16.5" hidden="false" customHeight="true" outlineLevel="0" collapsed="false">
      <c r="A25" s="20" t="s">
        <v>1096</v>
      </c>
      <c r="B25" s="20"/>
      <c r="C25" s="20"/>
      <c r="D25" s="20"/>
      <c r="E25" s="20"/>
    </row>
  </sheetData>
  <mergeCells count="16">
    <mergeCell ref="A4:E4"/>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true"/>
  </sheetPr>
  <dimension ref="A1:O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36"/>
    <col collapsed="false" customWidth="true" hidden="false" outlineLevel="0" max="4" min="4" style="0" width="9"/>
    <col collapsed="false" customWidth="true" hidden="false" outlineLevel="0" max="5" min="5" style="0" width="14"/>
    <col collapsed="false" customWidth="true" hidden="false" outlineLevel="0" max="6" min="6" style="0" width="11"/>
    <col collapsed="false" customWidth="true" hidden="false" outlineLevel="0" max="7" min="7" style="0" width="9"/>
    <col collapsed="false" customWidth="true" hidden="false" outlineLevel="0" max="8" min="8" style="0" width="10"/>
    <col collapsed="false" customWidth="true" hidden="false" outlineLevel="0" max="10" min="9" style="0" width="9"/>
    <col collapsed="false" customWidth="true" hidden="false" outlineLevel="0" max="11" min="11" style="0" width="12"/>
    <col collapsed="false" customWidth="true" hidden="false" outlineLevel="0" max="13" min="12" style="0" width="10"/>
    <col collapsed="false" customWidth="true" hidden="false" outlineLevel="0" max="14" min="14" style="0" width="13"/>
    <col collapsed="false" customWidth="true" hidden="false" outlineLevel="0" max="15" min="15" style="0" width="46"/>
  </cols>
  <sheetData>
    <row r="1" customFormat="false" ht="24" hidden="false" customHeight="true" outlineLevel="0" collapsed="false">
      <c r="A1" s="1" t="s">
        <v>1097</v>
      </c>
    </row>
    <row r="2" customFormat="false" ht="15" hidden="false" customHeight="false" outlineLevel="0" collapsed="false">
      <c r="A2" s="2" t="s">
        <v>1098</v>
      </c>
    </row>
    <row r="4" customFormat="false" ht="15" hidden="false" customHeight="false" outlineLevel="0" collapsed="false">
      <c r="A4" s="3" t="s">
        <v>1099</v>
      </c>
      <c r="B4" s="3"/>
      <c r="C4" s="3"/>
      <c r="D4" s="3"/>
      <c r="E4" s="3"/>
      <c r="F4" s="3"/>
      <c r="G4" s="3"/>
      <c r="H4" s="3"/>
      <c r="I4" s="3"/>
      <c r="J4" s="3"/>
      <c r="K4" s="3"/>
      <c r="L4" s="3"/>
      <c r="M4" s="3"/>
      <c r="N4" s="3"/>
      <c r="O4" s="3"/>
    </row>
    <row r="5" customFormat="false" ht="15" hidden="false" customHeight="true" outlineLevel="0" collapsed="false">
      <c r="A5" s="20" t="s">
        <v>1100</v>
      </c>
      <c r="B5" s="20"/>
      <c r="C5" s="20"/>
      <c r="D5" s="17" t="n">
        <f aca="false">'My TikTok Videos'!$E$18</f>
        <v>1394</v>
      </c>
      <c r="E5" s="29" t="s">
        <v>1101</v>
      </c>
      <c r="F5" s="29"/>
      <c r="G5" s="29"/>
      <c r="H5" s="29"/>
      <c r="I5" s="29"/>
      <c r="J5" s="29"/>
      <c r="K5" s="29"/>
      <c r="L5" s="29"/>
      <c r="M5" s="29"/>
      <c r="N5" s="29"/>
      <c r="O5" s="29"/>
    </row>
    <row r="6" customFormat="false" ht="15" hidden="false" customHeight="true" outlineLevel="0" collapsed="false">
      <c r="A6" s="20" t="s">
        <v>1102</v>
      </c>
      <c r="B6" s="20"/>
      <c r="C6" s="20"/>
      <c r="D6" s="30" t="n">
        <v>3</v>
      </c>
      <c r="E6" s="29" t="s">
        <v>1103</v>
      </c>
      <c r="F6" s="29"/>
      <c r="G6" s="29"/>
      <c r="H6" s="29"/>
      <c r="I6" s="29"/>
      <c r="J6" s="29"/>
      <c r="K6" s="29"/>
      <c r="L6" s="29"/>
      <c r="M6" s="29"/>
      <c r="N6" s="29"/>
      <c r="O6" s="29"/>
    </row>
    <row r="7" customFormat="false" ht="15" hidden="false" customHeight="true" outlineLevel="0" collapsed="false">
      <c r="A7" s="20" t="s">
        <v>1104</v>
      </c>
      <c r="B7" s="20"/>
      <c r="C7" s="20"/>
      <c r="D7" s="31" t="n">
        <v>0.002</v>
      </c>
      <c r="E7" s="29" t="s">
        <v>1105</v>
      </c>
      <c r="F7" s="29"/>
      <c r="G7" s="29"/>
      <c r="H7" s="29"/>
      <c r="I7" s="29"/>
      <c r="J7" s="29"/>
      <c r="K7" s="29"/>
      <c r="L7" s="29"/>
      <c r="M7" s="29"/>
      <c r="N7" s="29"/>
      <c r="O7" s="29"/>
    </row>
    <row r="8" customFormat="false" ht="15" hidden="false" customHeight="true" outlineLevel="0" collapsed="false">
      <c r="A8" s="20" t="s">
        <v>1106</v>
      </c>
      <c r="B8" s="20"/>
      <c r="C8" s="20"/>
      <c r="D8" s="31" t="n">
        <v>0.002</v>
      </c>
      <c r="E8" s="29" t="s">
        <v>1107</v>
      </c>
      <c r="F8" s="29"/>
      <c r="G8" s="29"/>
      <c r="H8" s="29"/>
      <c r="I8" s="29"/>
      <c r="J8" s="29"/>
      <c r="K8" s="29"/>
      <c r="L8" s="29"/>
      <c r="M8" s="29"/>
      <c r="N8" s="29"/>
      <c r="O8" s="29"/>
    </row>
    <row r="10" customFormat="false" ht="30" hidden="false" customHeight="true" outlineLevel="0" collapsed="false">
      <c r="A10" s="4" t="s">
        <v>1108</v>
      </c>
      <c r="B10" s="4" t="s">
        <v>1027</v>
      </c>
      <c r="C10" s="4" t="s">
        <v>360</v>
      </c>
      <c r="D10" s="4" t="s">
        <v>1109</v>
      </c>
      <c r="E10" s="4" t="s">
        <v>149</v>
      </c>
      <c r="F10" s="4" t="s">
        <v>1110</v>
      </c>
      <c r="G10" s="4" t="s">
        <v>86</v>
      </c>
      <c r="H10" s="4" t="s">
        <v>87</v>
      </c>
      <c r="I10" s="4" t="s">
        <v>88</v>
      </c>
      <c r="J10" s="4" t="s">
        <v>89</v>
      </c>
      <c r="K10" s="4" t="s">
        <v>1111</v>
      </c>
      <c r="L10" s="4" t="s">
        <v>92</v>
      </c>
      <c r="M10" s="4" t="s">
        <v>93</v>
      </c>
      <c r="N10" s="4" t="s">
        <v>1112</v>
      </c>
      <c r="O10" s="4" t="s">
        <v>1113</v>
      </c>
    </row>
    <row r="11" customFormat="false" ht="15" hidden="false" customHeight="false" outlineLevel="0" collapsed="false">
      <c r="A11" s="32" t="n">
        <v>46321</v>
      </c>
      <c r="B11" s="33" t="n">
        <v>1</v>
      </c>
      <c r="C11" s="6" t="str">
        <f aca="false">IF(B11="","",IFERROR(INDEX('20 Ideas'!$C$2:$C$21,MATCH(B11,'20 Ideas'!$A$2:$A$21,0)),""))</f>
        <v>"Ce camion part pour [ville]"</v>
      </c>
      <c r="D11" s="33" t="s">
        <v>1114</v>
      </c>
      <c r="E11" s="33" t="s">
        <v>1115</v>
      </c>
      <c r="F11" s="34" t="n">
        <v>5200</v>
      </c>
      <c r="G11" s="34" t="n">
        <v>90</v>
      </c>
      <c r="H11" s="34" t="n">
        <v>6</v>
      </c>
      <c r="I11" s="34" t="n">
        <v>28</v>
      </c>
      <c r="J11" s="34" t="n">
        <v>20</v>
      </c>
      <c r="K11" s="34" t="n">
        <v>3</v>
      </c>
      <c r="L11" s="15" t="n">
        <f aca="false">IF(F11="","",IFERROR(I11/F11,0))</f>
        <v>0.00538461538461538</v>
      </c>
      <c r="M11" s="15" t="n">
        <f aca="false">IF(F11="","",IFERROR(J11/F11,0))</f>
        <v>0.00384615384615385</v>
      </c>
      <c r="N11" s="18" t="n">
        <f aca="false">IF(F11="","",IFERROR(F11/$D$5,0))</f>
        <v>3.73027259684362</v>
      </c>
      <c r="O11" s="6" t="str">
        <f aca="false">IF(F11="","",IF(N11&gt;=$D$6,"Make a sequel within 3 days",IF(AND(N11&lt;1,M11&gt;=$D$8),"Good idea, weak hook: re-post with a new first second",IF(AND(N11&gt;=1,L11&lt;$D$7),"Entertained but not useful: add a share prompt","Keep and watch"))))</f>
        <v>Make a sequel within 3 days</v>
      </c>
    </row>
    <row r="12" customFormat="false" ht="15" hidden="false" customHeight="false" outlineLevel="0" collapsed="false">
      <c r="A12" s="35"/>
      <c r="B12" s="36"/>
      <c r="C12" s="6" t="str">
        <f aca="false">IF(B12="","",IFERROR(INDEX('20 Ideas'!$C$2:$C$21,MATCH(B12,'20 Ideas'!$A$2:$A$21,0)),""))</f>
        <v/>
      </c>
      <c r="D12" s="36"/>
      <c r="E12" s="36"/>
      <c r="F12" s="37"/>
      <c r="G12" s="37"/>
      <c r="H12" s="37"/>
      <c r="I12" s="37"/>
      <c r="J12" s="37"/>
      <c r="K12" s="37"/>
      <c r="L12" s="15" t="str">
        <f aca="false">IF(F12="","",IFERROR(I12/F12,0))</f>
        <v/>
      </c>
      <c r="M12" s="15" t="str">
        <f aca="false">IF(F12="","",IFERROR(J12/F12,0))</f>
        <v/>
      </c>
      <c r="N12" s="18" t="str">
        <f aca="false">IF(F12="","",IFERROR(F12/$D$5,0))</f>
        <v/>
      </c>
      <c r="O12" s="6" t="str">
        <f aca="false">IF(F12="","",IF(N12&gt;=$D$6,"Make a sequel within 3 days",IF(AND(N12&lt;1,M12&gt;=$D$8),"Good idea, weak hook: re-post with a new first second",IF(AND(N12&gt;=1,L12&lt;$D$7),"Entertained but not useful: add a share prompt","Keep and watch"))))</f>
        <v/>
      </c>
    </row>
    <row r="13" customFormat="false" ht="15" hidden="false" customHeight="false" outlineLevel="0" collapsed="false">
      <c r="A13" s="35"/>
      <c r="B13" s="36"/>
      <c r="C13" s="6" t="str">
        <f aca="false">IF(B13="","",IFERROR(INDEX('20 Ideas'!$C$2:$C$21,MATCH(B13,'20 Ideas'!$A$2:$A$21,0)),""))</f>
        <v/>
      </c>
      <c r="D13" s="36"/>
      <c r="E13" s="36"/>
      <c r="F13" s="37"/>
      <c r="G13" s="37"/>
      <c r="H13" s="37"/>
      <c r="I13" s="37"/>
      <c r="J13" s="37"/>
      <c r="K13" s="37"/>
      <c r="L13" s="15" t="str">
        <f aca="false">IF(F13="","",IFERROR(I13/F13,0))</f>
        <v/>
      </c>
      <c r="M13" s="15" t="str">
        <f aca="false">IF(F13="","",IFERROR(J13/F13,0))</f>
        <v/>
      </c>
      <c r="N13" s="18" t="str">
        <f aca="false">IF(F13="","",IFERROR(F13/$D$5,0))</f>
        <v/>
      </c>
      <c r="O13" s="6" t="str">
        <f aca="false">IF(F13="","",IF(N13&gt;=$D$6,"Make a sequel within 3 days",IF(AND(N13&lt;1,M13&gt;=$D$8),"Good idea, weak hook: re-post with a new first second",IF(AND(N13&gt;=1,L13&lt;$D$7),"Entertained but not useful: add a share prompt","Keep and watch"))))</f>
        <v/>
      </c>
    </row>
    <row r="14" customFormat="false" ht="15" hidden="false" customHeight="false" outlineLevel="0" collapsed="false">
      <c r="A14" s="35"/>
      <c r="B14" s="36"/>
      <c r="C14" s="6" t="str">
        <f aca="false">IF(B14="","",IFERROR(INDEX('20 Ideas'!$C$2:$C$21,MATCH(B14,'20 Ideas'!$A$2:$A$21,0)),""))</f>
        <v/>
      </c>
      <c r="D14" s="36"/>
      <c r="E14" s="36"/>
      <c r="F14" s="37"/>
      <c r="G14" s="37"/>
      <c r="H14" s="37"/>
      <c r="I14" s="37"/>
      <c r="J14" s="37"/>
      <c r="K14" s="37"/>
      <c r="L14" s="15" t="str">
        <f aca="false">IF(F14="","",IFERROR(I14/F14,0))</f>
        <v/>
      </c>
      <c r="M14" s="15" t="str">
        <f aca="false">IF(F14="","",IFERROR(J14/F14,0))</f>
        <v/>
      </c>
      <c r="N14" s="18" t="str">
        <f aca="false">IF(F14="","",IFERROR(F14/$D$5,0))</f>
        <v/>
      </c>
      <c r="O14" s="6" t="str">
        <f aca="false">IF(F14="","",IF(N14&gt;=$D$6,"Make a sequel within 3 days",IF(AND(N14&lt;1,M14&gt;=$D$8),"Good idea, weak hook: re-post with a new first second",IF(AND(N14&gt;=1,L14&lt;$D$7),"Entertained but not useful: add a share prompt","Keep and watch"))))</f>
        <v/>
      </c>
    </row>
    <row r="15" customFormat="false" ht="15" hidden="false" customHeight="false" outlineLevel="0" collapsed="false">
      <c r="A15" s="35"/>
      <c r="B15" s="36"/>
      <c r="C15" s="6" t="str">
        <f aca="false">IF(B15="","",IFERROR(INDEX('20 Ideas'!$C$2:$C$21,MATCH(B15,'20 Ideas'!$A$2:$A$21,0)),""))</f>
        <v/>
      </c>
      <c r="D15" s="36"/>
      <c r="E15" s="36"/>
      <c r="F15" s="37"/>
      <c r="G15" s="37"/>
      <c r="H15" s="37"/>
      <c r="I15" s="37"/>
      <c r="J15" s="37"/>
      <c r="K15" s="37"/>
      <c r="L15" s="15" t="str">
        <f aca="false">IF(F15="","",IFERROR(I15/F15,0))</f>
        <v/>
      </c>
      <c r="M15" s="15" t="str">
        <f aca="false">IF(F15="","",IFERROR(J15/F15,0))</f>
        <v/>
      </c>
      <c r="N15" s="18" t="str">
        <f aca="false">IF(F15="","",IFERROR(F15/$D$5,0))</f>
        <v/>
      </c>
      <c r="O15" s="6" t="str">
        <f aca="false">IF(F15="","",IF(N15&gt;=$D$6,"Make a sequel within 3 days",IF(AND(N15&lt;1,M15&gt;=$D$8),"Good idea, weak hook: re-post with a new first second",IF(AND(N15&gt;=1,L15&lt;$D$7),"Entertained but not useful: add a share prompt","Keep and watch"))))</f>
        <v/>
      </c>
    </row>
    <row r="16" customFormat="false" ht="15" hidden="false" customHeight="false" outlineLevel="0" collapsed="false">
      <c r="A16" s="35"/>
      <c r="B16" s="36"/>
      <c r="C16" s="6" t="str">
        <f aca="false">IF(B16="","",IFERROR(INDEX('20 Ideas'!$C$2:$C$21,MATCH(B16,'20 Ideas'!$A$2:$A$21,0)),""))</f>
        <v/>
      </c>
      <c r="D16" s="36"/>
      <c r="E16" s="36"/>
      <c r="F16" s="37"/>
      <c r="G16" s="37"/>
      <c r="H16" s="37"/>
      <c r="I16" s="37"/>
      <c r="J16" s="37"/>
      <c r="K16" s="37"/>
      <c r="L16" s="15" t="str">
        <f aca="false">IF(F16="","",IFERROR(I16/F16,0))</f>
        <v/>
      </c>
      <c r="M16" s="15" t="str">
        <f aca="false">IF(F16="","",IFERROR(J16/F16,0))</f>
        <v/>
      </c>
      <c r="N16" s="18" t="str">
        <f aca="false">IF(F16="","",IFERROR(F16/$D$5,0))</f>
        <v/>
      </c>
      <c r="O16" s="6" t="str">
        <f aca="false">IF(F16="","",IF(N16&gt;=$D$6,"Make a sequel within 3 days",IF(AND(N16&lt;1,M16&gt;=$D$8),"Good idea, weak hook: re-post with a new first second",IF(AND(N16&gt;=1,L16&lt;$D$7),"Entertained but not useful: add a share prompt","Keep and watch"))))</f>
        <v/>
      </c>
    </row>
    <row r="17" customFormat="false" ht="15" hidden="false" customHeight="false" outlineLevel="0" collapsed="false">
      <c r="A17" s="35"/>
      <c r="B17" s="36"/>
      <c r="C17" s="6" t="str">
        <f aca="false">IF(B17="","",IFERROR(INDEX('20 Ideas'!$C$2:$C$21,MATCH(B17,'20 Ideas'!$A$2:$A$21,0)),""))</f>
        <v/>
      </c>
      <c r="D17" s="36"/>
      <c r="E17" s="36"/>
      <c r="F17" s="37"/>
      <c r="G17" s="37"/>
      <c r="H17" s="37"/>
      <c r="I17" s="37"/>
      <c r="J17" s="37"/>
      <c r="K17" s="37"/>
      <c r="L17" s="15" t="str">
        <f aca="false">IF(F17="","",IFERROR(I17/F17,0))</f>
        <v/>
      </c>
      <c r="M17" s="15" t="str">
        <f aca="false">IF(F17="","",IFERROR(J17/F17,0))</f>
        <v/>
      </c>
      <c r="N17" s="18" t="str">
        <f aca="false">IF(F17="","",IFERROR(F17/$D$5,0))</f>
        <v/>
      </c>
      <c r="O17" s="6" t="str">
        <f aca="false">IF(F17="","",IF(N17&gt;=$D$6,"Make a sequel within 3 days",IF(AND(N17&lt;1,M17&gt;=$D$8),"Good idea, weak hook: re-post with a new first second",IF(AND(N17&gt;=1,L17&lt;$D$7),"Entertained but not useful: add a share prompt","Keep and watch"))))</f>
        <v/>
      </c>
    </row>
    <row r="18" customFormat="false" ht="15" hidden="false" customHeight="false" outlineLevel="0" collapsed="false">
      <c r="A18" s="35"/>
      <c r="B18" s="36"/>
      <c r="C18" s="6" t="str">
        <f aca="false">IF(B18="","",IFERROR(INDEX('20 Ideas'!$C$2:$C$21,MATCH(B18,'20 Ideas'!$A$2:$A$21,0)),""))</f>
        <v/>
      </c>
      <c r="D18" s="36"/>
      <c r="E18" s="36"/>
      <c r="F18" s="37"/>
      <c r="G18" s="37"/>
      <c r="H18" s="37"/>
      <c r="I18" s="37"/>
      <c r="J18" s="37"/>
      <c r="K18" s="37"/>
      <c r="L18" s="15" t="str">
        <f aca="false">IF(F18="","",IFERROR(I18/F18,0))</f>
        <v/>
      </c>
      <c r="M18" s="15" t="str">
        <f aca="false">IF(F18="","",IFERROR(J18/F18,0))</f>
        <v/>
      </c>
      <c r="N18" s="18" t="str">
        <f aca="false">IF(F18="","",IFERROR(F18/$D$5,0))</f>
        <v/>
      </c>
      <c r="O18" s="6" t="str">
        <f aca="false">IF(F18="","",IF(N18&gt;=$D$6,"Make a sequel within 3 days",IF(AND(N18&lt;1,M18&gt;=$D$8),"Good idea, weak hook: re-post with a new first second",IF(AND(N18&gt;=1,L18&lt;$D$7),"Entertained but not useful: add a share prompt","Keep and watch"))))</f>
        <v/>
      </c>
    </row>
    <row r="19" customFormat="false" ht="15" hidden="false" customHeight="false" outlineLevel="0" collapsed="false">
      <c r="A19" s="35"/>
      <c r="B19" s="36"/>
      <c r="C19" s="6" t="str">
        <f aca="false">IF(B19="","",IFERROR(INDEX('20 Ideas'!$C$2:$C$21,MATCH(B19,'20 Ideas'!$A$2:$A$21,0)),""))</f>
        <v/>
      </c>
      <c r="D19" s="36"/>
      <c r="E19" s="36"/>
      <c r="F19" s="37"/>
      <c r="G19" s="37"/>
      <c r="H19" s="37"/>
      <c r="I19" s="37"/>
      <c r="J19" s="37"/>
      <c r="K19" s="37"/>
      <c r="L19" s="15" t="str">
        <f aca="false">IF(F19="","",IFERROR(I19/F19,0))</f>
        <v/>
      </c>
      <c r="M19" s="15" t="str">
        <f aca="false">IF(F19="","",IFERROR(J19/F19,0))</f>
        <v/>
      </c>
      <c r="N19" s="18" t="str">
        <f aca="false">IF(F19="","",IFERROR(F19/$D$5,0))</f>
        <v/>
      </c>
      <c r="O19" s="6" t="str">
        <f aca="false">IF(F19="","",IF(N19&gt;=$D$6,"Make a sequel within 3 days",IF(AND(N19&lt;1,M19&gt;=$D$8),"Good idea, weak hook: re-post with a new first second",IF(AND(N19&gt;=1,L19&lt;$D$7),"Entertained but not useful: add a share prompt","Keep and watch"))))</f>
        <v/>
      </c>
    </row>
    <row r="20" customFormat="false" ht="15" hidden="false" customHeight="false" outlineLevel="0" collapsed="false">
      <c r="A20" s="35"/>
      <c r="B20" s="36"/>
      <c r="C20" s="6" t="str">
        <f aca="false">IF(B20="","",IFERROR(INDEX('20 Ideas'!$C$2:$C$21,MATCH(B20,'20 Ideas'!$A$2:$A$21,0)),""))</f>
        <v/>
      </c>
      <c r="D20" s="36"/>
      <c r="E20" s="36"/>
      <c r="F20" s="37"/>
      <c r="G20" s="37"/>
      <c r="H20" s="37"/>
      <c r="I20" s="37"/>
      <c r="J20" s="37"/>
      <c r="K20" s="37"/>
      <c r="L20" s="15" t="str">
        <f aca="false">IF(F20="","",IFERROR(I20/F20,0))</f>
        <v/>
      </c>
      <c r="M20" s="15" t="str">
        <f aca="false">IF(F20="","",IFERROR(J20/F20,0))</f>
        <v/>
      </c>
      <c r="N20" s="18" t="str">
        <f aca="false">IF(F20="","",IFERROR(F20/$D$5,0))</f>
        <v/>
      </c>
      <c r="O20" s="6" t="str">
        <f aca="false">IF(F20="","",IF(N20&gt;=$D$6,"Make a sequel within 3 days",IF(AND(N20&lt;1,M20&gt;=$D$8),"Good idea, weak hook: re-post with a new first second",IF(AND(N20&gt;=1,L20&lt;$D$7),"Entertained but not useful: add a share prompt","Keep and watch"))))</f>
        <v/>
      </c>
    </row>
    <row r="21" customFormat="false" ht="15" hidden="false" customHeight="false" outlineLevel="0" collapsed="false">
      <c r="A21" s="35"/>
      <c r="B21" s="36"/>
      <c r="C21" s="6" t="str">
        <f aca="false">IF(B21="","",IFERROR(INDEX('20 Ideas'!$C$2:$C$21,MATCH(B21,'20 Ideas'!$A$2:$A$21,0)),""))</f>
        <v/>
      </c>
      <c r="D21" s="36"/>
      <c r="E21" s="36"/>
      <c r="F21" s="37"/>
      <c r="G21" s="37"/>
      <c r="H21" s="37"/>
      <c r="I21" s="37"/>
      <c r="J21" s="37"/>
      <c r="K21" s="37"/>
      <c r="L21" s="15" t="str">
        <f aca="false">IF(F21="","",IFERROR(I21/F21,0))</f>
        <v/>
      </c>
      <c r="M21" s="15" t="str">
        <f aca="false">IF(F21="","",IFERROR(J21/F21,0))</f>
        <v/>
      </c>
      <c r="N21" s="18" t="str">
        <f aca="false">IF(F21="","",IFERROR(F21/$D$5,0))</f>
        <v/>
      </c>
      <c r="O21" s="6" t="str">
        <f aca="false">IF(F21="","",IF(N21&gt;=$D$6,"Make a sequel within 3 days",IF(AND(N21&lt;1,M21&gt;=$D$8),"Good idea, weak hook: re-post with a new first second",IF(AND(N21&gt;=1,L21&lt;$D$7),"Entertained but not useful: add a share prompt","Keep and watch"))))</f>
        <v/>
      </c>
    </row>
    <row r="22" customFormat="false" ht="15" hidden="false" customHeight="false" outlineLevel="0" collapsed="false">
      <c r="A22" s="35"/>
      <c r="B22" s="36"/>
      <c r="C22" s="6" t="str">
        <f aca="false">IF(B22="","",IFERROR(INDEX('20 Ideas'!$C$2:$C$21,MATCH(B22,'20 Ideas'!$A$2:$A$21,0)),""))</f>
        <v/>
      </c>
      <c r="D22" s="36"/>
      <c r="E22" s="36"/>
      <c r="F22" s="37"/>
      <c r="G22" s="37"/>
      <c r="H22" s="37"/>
      <c r="I22" s="37"/>
      <c r="J22" s="37"/>
      <c r="K22" s="37"/>
      <c r="L22" s="15" t="str">
        <f aca="false">IF(F22="","",IFERROR(I22/F22,0))</f>
        <v/>
      </c>
      <c r="M22" s="15" t="str">
        <f aca="false">IF(F22="","",IFERROR(J22/F22,0))</f>
        <v/>
      </c>
      <c r="N22" s="18" t="str">
        <f aca="false">IF(F22="","",IFERROR(F22/$D$5,0))</f>
        <v/>
      </c>
      <c r="O22" s="6" t="str">
        <f aca="false">IF(F22="","",IF(N22&gt;=$D$6,"Make a sequel within 3 days",IF(AND(N22&lt;1,M22&gt;=$D$8),"Good idea, weak hook: re-post with a new first second",IF(AND(N22&gt;=1,L22&lt;$D$7),"Entertained but not useful: add a share prompt","Keep and watch"))))</f>
        <v/>
      </c>
    </row>
    <row r="23" customFormat="false" ht="15" hidden="false" customHeight="false" outlineLevel="0" collapsed="false">
      <c r="A23" s="35"/>
      <c r="B23" s="36"/>
      <c r="C23" s="6" t="str">
        <f aca="false">IF(B23="","",IFERROR(INDEX('20 Ideas'!$C$2:$C$21,MATCH(B23,'20 Ideas'!$A$2:$A$21,0)),""))</f>
        <v/>
      </c>
      <c r="D23" s="36"/>
      <c r="E23" s="36"/>
      <c r="F23" s="37"/>
      <c r="G23" s="37"/>
      <c r="H23" s="37"/>
      <c r="I23" s="37"/>
      <c r="J23" s="37"/>
      <c r="K23" s="37"/>
      <c r="L23" s="15" t="str">
        <f aca="false">IF(F23="","",IFERROR(I23/F23,0))</f>
        <v/>
      </c>
      <c r="M23" s="15" t="str">
        <f aca="false">IF(F23="","",IFERROR(J23/F23,0))</f>
        <v/>
      </c>
      <c r="N23" s="18" t="str">
        <f aca="false">IF(F23="","",IFERROR(F23/$D$5,0))</f>
        <v/>
      </c>
      <c r="O23" s="6" t="str">
        <f aca="false">IF(F23="","",IF(N23&gt;=$D$6,"Make a sequel within 3 days",IF(AND(N23&lt;1,M23&gt;=$D$8),"Good idea, weak hook: re-post with a new first second",IF(AND(N23&gt;=1,L23&lt;$D$7),"Entertained but not useful: add a share prompt","Keep and watch"))))</f>
        <v/>
      </c>
    </row>
    <row r="24" customFormat="false" ht="15" hidden="false" customHeight="false" outlineLevel="0" collapsed="false">
      <c r="A24" s="35"/>
      <c r="B24" s="36"/>
      <c r="C24" s="6" t="str">
        <f aca="false">IF(B24="","",IFERROR(INDEX('20 Ideas'!$C$2:$C$21,MATCH(B24,'20 Ideas'!$A$2:$A$21,0)),""))</f>
        <v/>
      </c>
      <c r="D24" s="36"/>
      <c r="E24" s="36"/>
      <c r="F24" s="37"/>
      <c r="G24" s="37"/>
      <c r="H24" s="37"/>
      <c r="I24" s="37"/>
      <c r="J24" s="37"/>
      <c r="K24" s="37"/>
      <c r="L24" s="15" t="str">
        <f aca="false">IF(F24="","",IFERROR(I24/F24,0))</f>
        <v/>
      </c>
      <c r="M24" s="15" t="str">
        <f aca="false">IF(F24="","",IFERROR(J24/F24,0))</f>
        <v/>
      </c>
      <c r="N24" s="18" t="str">
        <f aca="false">IF(F24="","",IFERROR(F24/$D$5,0))</f>
        <v/>
      </c>
      <c r="O24" s="6" t="str">
        <f aca="false">IF(F24="","",IF(N24&gt;=$D$6,"Make a sequel within 3 days",IF(AND(N24&lt;1,M24&gt;=$D$8),"Good idea, weak hook: re-post with a new first second",IF(AND(N24&gt;=1,L24&lt;$D$7),"Entertained but not useful: add a share prompt","Keep and watch"))))</f>
        <v/>
      </c>
    </row>
    <row r="25" customFormat="false" ht="15" hidden="false" customHeight="false" outlineLevel="0" collapsed="false">
      <c r="A25" s="35"/>
      <c r="B25" s="36"/>
      <c r="C25" s="6" t="str">
        <f aca="false">IF(B25="","",IFERROR(INDEX('20 Ideas'!$C$2:$C$21,MATCH(B25,'20 Ideas'!$A$2:$A$21,0)),""))</f>
        <v/>
      </c>
      <c r="D25" s="36"/>
      <c r="E25" s="36"/>
      <c r="F25" s="37"/>
      <c r="G25" s="37"/>
      <c r="H25" s="37"/>
      <c r="I25" s="37"/>
      <c r="J25" s="37"/>
      <c r="K25" s="37"/>
      <c r="L25" s="15" t="str">
        <f aca="false">IF(F25="","",IFERROR(I25/F25,0))</f>
        <v/>
      </c>
      <c r="M25" s="15" t="str">
        <f aca="false">IF(F25="","",IFERROR(J25/F25,0))</f>
        <v/>
      </c>
      <c r="N25" s="18" t="str">
        <f aca="false">IF(F25="","",IFERROR(F25/$D$5,0))</f>
        <v/>
      </c>
      <c r="O25" s="6" t="str">
        <f aca="false">IF(F25="","",IF(N25&gt;=$D$6,"Make a sequel within 3 days",IF(AND(N25&lt;1,M25&gt;=$D$8),"Good idea, weak hook: re-post with a new first second",IF(AND(N25&gt;=1,L25&lt;$D$7),"Entertained but not useful: add a share prompt","Keep and watch"))))</f>
        <v/>
      </c>
    </row>
    <row r="26" customFormat="false" ht="15" hidden="false" customHeight="false" outlineLevel="0" collapsed="false">
      <c r="A26" s="35"/>
      <c r="B26" s="36"/>
      <c r="C26" s="6" t="str">
        <f aca="false">IF(B26="","",IFERROR(INDEX('20 Ideas'!$C$2:$C$21,MATCH(B26,'20 Ideas'!$A$2:$A$21,0)),""))</f>
        <v/>
      </c>
      <c r="D26" s="36"/>
      <c r="E26" s="36"/>
      <c r="F26" s="37"/>
      <c r="G26" s="37"/>
      <c r="H26" s="37"/>
      <c r="I26" s="37"/>
      <c r="J26" s="37"/>
      <c r="K26" s="37"/>
      <c r="L26" s="15" t="str">
        <f aca="false">IF(F26="","",IFERROR(I26/F26,0))</f>
        <v/>
      </c>
      <c r="M26" s="15" t="str">
        <f aca="false">IF(F26="","",IFERROR(J26/F26,0))</f>
        <v/>
      </c>
      <c r="N26" s="18" t="str">
        <f aca="false">IF(F26="","",IFERROR(F26/$D$5,0))</f>
        <v/>
      </c>
      <c r="O26" s="6" t="str">
        <f aca="false">IF(F26="","",IF(N26&gt;=$D$6,"Make a sequel within 3 days",IF(AND(N26&lt;1,M26&gt;=$D$8),"Good idea, weak hook: re-post with a new first second",IF(AND(N26&gt;=1,L26&lt;$D$7),"Entertained but not useful: add a share prompt","Keep and watch"))))</f>
        <v/>
      </c>
    </row>
    <row r="27" customFormat="false" ht="15" hidden="false" customHeight="false" outlineLevel="0" collapsed="false">
      <c r="A27" s="35"/>
      <c r="B27" s="36"/>
      <c r="C27" s="6" t="str">
        <f aca="false">IF(B27="","",IFERROR(INDEX('20 Ideas'!$C$2:$C$21,MATCH(B27,'20 Ideas'!$A$2:$A$21,0)),""))</f>
        <v/>
      </c>
      <c r="D27" s="36"/>
      <c r="E27" s="36"/>
      <c r="F27" s="37"/>
      <c r="G27" s="37"/>
      <c r="H27" s="37"/>
      <c r="I27" s="37"/>
      <c r="J27" s="37"/>
      <c r="K27" s="37"/>
      <c r="L27" s="15" t="str">
        <f aca="false">IF(F27="","",IFERROR(I27/F27,0))</f>
        <v/>
      </c>
      <c r="M27" s="15" t="str">
        <f aca="false">IF(F27="","",IFERROR(J27/F27,0))</f>
        <v/>
      </c>
      <c r="N27" s="18" t="str">
        <f aca="false">IF(F27="","",IFERROR(F27/$D$5,0))</f>
        <v/>
      </c>
      <c r="O27" s="6" t="str">
        <f aca="false">IF(F27="","",IF(N27&gt;=$D$6,"Make a sequel within 3 days",IF(AND(N27&lt;1,M27&gt;=$D$8),"Good idea, weak hook: re-post with a new first second",IF(AND(N27&gt;=1,L27&lt;$D$7),"Entertained but not useful: add a share prompt","Keep and watch"))))</f>
        <v/>
      </c>
    </row>
    <row r="28" customFormat="false" ht="15" hidden="false" customHeight="false" outlineLevel="0" collapsed="false">
      <c r="A28" s="35"/>
      <c r="B28" s="36"/>
      <c r="C28" s="6" t="str">
        <f aca="false">IF(B28="","",IFERROR(INDEX('20 Ideas'!$C$2:$C$21,MATCH(B28,'20 Ideas'!$A$2:$A$21,0)),""))</f>
        <v/>
      </c>
      <c r="D28" s="36"/>
      <c r="E28" s="36"/>
      <c r="F28" s="37"/>
      <c r="G28" s="37"/>
      <c r="H28" s="37"/>
      <c r="I28" s="37"/>
      <c r="J28" s="37"/>
      <c r="K28" s="37"/>
      <c r="L28" s="15" t="str">
        <f aca="false">IF(F28="","",IFERROR(I28/F28,0))</f>
        <v/>
      </c>
      <c r="M28" s="15" t="str">
        <f aca="false">IF(F28="","",IFERROR(J28/F28,0))</f>
        <v/>
      </c>
      <c r="N28" s="18" t="str">
        <f aca="false">IF(F28="","",IFERROR(F28/$D$5,0))</f>
        <v/>
      </c>
      <c r="O28" s="6" t="str">
        <f aca="false">IF(F28="","",IF(N28&gt;=$D$6,"Make a sequel within 3 days",IF(AND(N28&lt;1,M28&gt;=$D$8),"Good idea, weak hook: re-post with a new first second",IF(AND(N28&gt;=1,L28&lt;$D$7),"Entertained but not useful: add a share prompt","Keep and watch"))))</f>
        <v/>
      </c>
    </row>
    <row r="29" customFormat="false" ht="15" hidden="false" customHeight="false" outlineLevel="0" collapsed="false">
      <c r="A29" s="35"/>
      <c r="B29" s="36"/>
      <c r="C29" s="6" t="str">
        <f aca="false">IF(B29="","",IFERROR(INDEX('20 Ideas'!$C$2:$C$21,MATCH(B29,'20 Ideas'!$A$2:$A$21,0)),""))</f>
        <v/>
      </c>
      <c r="D29" s="36"/>
      <c r="E29" s="36"/>
      <c r="F29" s="37"/>
      <c r="G29" s="37"/>
      <c r="H29" s="37"/>
      <c r="I29" s="37"/>
      <c r="J29" s="37"/>
      <c r="K29" s="37"/>
      <c r="L29" s="15" t="str">
        <f aca="false">IF(F29="","",IFERROR(I29/F29,0))</f>
        <v/>
      </c>
      <c r="M29" s="15" t="str">
        <f aca="false">IF(F29="","",IFERROR(J29/F29,0))</f>
        <v/>
      </c>
      <c r="N29" s="18" t="str">
        <f aca="false">IF(F29="","",IFERROR(F29/$D$5,0))</f>
        <v/>
      </c>
      <c r="O29" s="6" t="str">
        <f aca="false">IF(F29="","",IF(N29&gt;=$D$6,"Make a sequel within 3 days",IF(AND(N29&lt;1,M29&gt;=$D$8),"Good idea, weak hook: re-post with a new first second",IF(AND(N29&gt;=1,L29&lt;$D$7),"Entertained but not useful: add a share prompt","Keep and watch"))))</f>
        <v/>
      </c>
    </row>
    <row r="30" customFormat="false" ht="15" hidden="false" customHeight="false" outlineLevel="0" collapsed="false">
      <c r="A30" s="35"/>
      <c r="B30" s="36"/>
      <c r="C30" s="6" t="str">
        <f aca="false">IF(B30="","",IFERROR(INDEX('20 Ideas'!$C$2:$C$21,MATCH(B30,'20 Ideas'!$A$2:$A$21,0)),""))</f>
        <v/>
      </c>
      <c r="D30" s="36"/>
      <c r="E30" s="36"/>
      <c r="F30" s="37"/>
      <c r="G30" s="37"/>
      <c r="H30" s="37"/>
      <c r="I30" s="37"/>
      <c r="J30" s="37"/>
      <c r="K30" s="37"/>
      <c r="L30" s="15" t="str">
        <f aca="false">IF(F30="","",IFERROR(I30/F30,0))</f>
        <v/>
      </c>
      <c r="M30" s="15" t="str">
        <f aca="false">IF(F30="","",IFERROR(J30/F30,0))</f>
        <v/>
      </c>
      <c r="N30" s="18" t="str">
        <f aca="false">IF(F30="","",IFERROR(F30/$D$5,0))</f>
        <v/>
      </c>
      <c r="O30" s="6" t="str">
        <f aca="false">IF(F30="","",IF(N30&gt;=$D$6,"Make a sequel within 3 days",IF(AND(N30&lt;1,M30&gt;=$D$8),"Good idea, weak hook: re-post with a new first second",IF(AND(N30&gt;=1,L30&lt;$D$7),"Entertained but not useful: add a share prompt","Keep and watch"))))</f>
        <v/>
      </c>
    </row>
    <row r="31" customFormat="false" ht="15" hidden="false" customHeight="false" outlineLevel="0" collapsed="false">
      <c r="A31" s="35"/>
      <c r="B31" s="36"/>
      <c r="C31" s="6" t="str">
        <f aca="false">IF(B31="","",IFERROR(INDEX('20 Ideas'!$C$2:$C$21,MATCH(B31,'20 Ideas'!$A$2:$A$21,0)),""))</f>
        <v/>
      </c>
      <c r="D31" s="36"/>
      <c r="E31" s="36"/>
      <c r="F31" s="37"/>
      <c r="G31" s="37"/>
      <c r="H31" s="37"/>
      <c r="I31" s="37"/>
      <c r="J31" s="37"/>
      <c r="K31" s="37"/>
      <c r="L31" s="15" t="str">
        <f aca="false">IF(F31="","",IFERROR(I31/F31,0))</f>
        <v/>
      </c>
      <c r="M31" s="15" t="str">
        <f aca="false">IF(F31="","",IFERROR(J31/F31,0))</f>
        <v/>
      </c>
      <c r="N31" s="18" t="str">
        <f aca="false">IF(F31="","",IFERROR(F31/$D$5,0))</f>
        <v/>
      </c>
      <c r="O31" s="6" t="str">
        <f aca="false">IF(F31="","",IF(N31&gt;=$D$6,"Make a sequel within 3 days",IF(AND(N31&lt;1,M31&gt;=$D$8),"Good idea, weak hook: re-post with a new first second",IF(AND(N31&gt;=1,L31&lt;$D$7),"Entertained but not useful: add a share prompt","Keep and watch"))))</f>
        <v/>
      </c>
    </row>
    <row r="32" customFormat="false" ht="15" hidden="false" customHeight="false" outlineLevel="0" collapsed="false">
      <c r="A32" s="35"/>
      <c r="B32" s="36"/>
      <c r="C32" s="6" t="str">
        <f aca="false">IF(B32="","",IFERROR(INDEX('20 Ideas'!$C$2:$C$21,MATCH(B32,'20 Ideas'!$A$2:$A$21,0)),""))</f>
        <v/>
      </c>
      <c r="D32" s="36"/>
      <c r="E32" s="36"/>
      <c r="F32" s="37"/>
      <c r="G32" s="37"/>
      <c r="H32" s="37"/>
      <c r="I32" s="37"/>
      <c r="J32" s="37"/>
      <c r="K32" s="37"/>
      <c r="L32" s="15" t="str">
        <f aca="false">IF(F32="","",IFERROR(I32/F32,0))</f>
        <v/>
      </c>
      <c r="M32" s="15" t="str">
        <f aca="false">IF(F32="","",IFERROR(J32/F32,0))</f>
        <v/>
      </c>
      <c r="N32" s="18" t="str">
        <f aca="false">IF(F32="","",IFERROR(F32/$D$5,0))</f>
        <v/>
      </c>
      <c r="O32" s="6" t="str">
        <f aca="false">IF(F32="","",IF(N32&gt;=$D$6,"Make a sequel within 3 days",IF(AND(N32&lt;1,M32&gt;=$D$8),"Good idea, weak hook: re-post with a new first second",IF(AND(N32&gt;=1,L32&lt;$D$7),"Entertained but not useful: add a share prompt","Keep and watch"))))</f>
        <v/>
      </c>
    </row>
    <row r="33" customFormat="false" ht="15" hidden="false" customHeight="false" outlineLevel="0" collapsed="false">
      <c r="A33" s="35"/>
      <c r="B33" s="36"/>
      <c r="C33" s="6" t="str">
        <f aca="false">IF(B33="","",IFERROR(INDEX('20 Ideas'!$C$2:$C$21,MATCH(B33,'20 Ideas'!$A$2:$A$21,0)),""))</f>
        <v/>
      </c>
      <c r="D33" s="36"/>
      <c r="E33" s="36"/>
      <c r="F33" s="37"/>
      <c r="G33" s="37"/>
      <c r="H33" s="37"/>
      <c r="I33" s="37"/>
      <c r="J33" s="37"/>
      <c r="K33" s="37"/>
      <c r="L33" s="15" t="str">
        <f aca="false">IF(F33="","",IFERROR(I33/F33,0))</f>
        <v/>
      </c>
      <c r="M33" s="15" t="str">
        <f aca="false">IF(F33="","",IFERROR(J33/F33,0))</f>
        <v/>
      </c>
      <c r="N33" s="18" t="str">
        <f aca="false">IF(F33="","",IFERROR(F33/$D$5,0))</f>
        <v/>
      </c>
      <c r="O33" s="6" t="str">
        <f aca="false">IF(F33="","",IF(N33&gt;=$D$6,"Make a sequel within 3 days",IF(AND(N33&lt;1,M33&gt;=$D$8),"Good idea, weak hook: re-post with a new first second",IF(AND(N33&gt;=1,L33&lt;$D$7),"Entertained but not useful: add a share prompt","Keep and watch"))))</f>
        <v/>
      </c>
    </row>
    <row r="34" customFormat="false" ht="15" hidden="false" customHeight="false" outlineLevel="0" collapsed="false">
      <c r="A34" s="35"/>
      <c r="B34" s="36"/>
      <c r="C34" s="6" t="str">
        <f aca="false">IF(B34="","",IFERROR(INDEX('20 Ideas'!$C$2:$C$21,MATCH(B34,'20 Ideas'!$A$2:$A$21,0)),""))</f>
        <v/>
      </c>
      <c r="D34" s="36"/>
      <c r="E34" s="36"/>
      <c r="F34" s="37"/>
      <c r="G34" s="37"/>
      <c r="H34" s="37"/>
      <c r="I34" s="37"/>
      <c r="J34" s="37"/>
      <c r="K34" s="37"/>
      <c r="L34" s="15" t="str">
        <f aca="false">IF(F34="","",IFERROR(I34/F34,0))</f>
        <v/>
      </c>
      <c r="M34" s="15" t="str">
        <f aca="false">IF(F34="","",IFERROR(J34/F34,0))</f>
        <v/>
      </c>
      <c r="N34" s="18" t="str">
        <f aca="false">IF(F34="","",IFERROR(F34/$D$5,0))</f>
        <v/>
      </c>
      <c r="O34" s="6" t="str">
        <f aca="false">IF(F34="","",IF(N34&gt;=$D$6,"Make a sequel within 3 days",IF(AND(N34&lt;1,M34&gt;=$D$8),"Good idea, weak hook: re-post with a new first second",IF(AND(N34&gt;=1,L34&lt;$D$7),"Entertained but not useful: add a share prompt","Keep and watch"))))</f>
        <v/>
      </c>
    </row>
    <row r="35" customFormat="false" ht="15" hidden="false" customHeight="false" outlineLevel="0" collapsed="false">
      <c r="A35" s="35"/>
      <c r="B35" s="36"/>
      <c r="C35" s="6" t="str">
        <f aca="false">IF(B35="","",IFERROR(INDEX('20 Ideas'!$C$2:$C$21,MATCH(B35,'20 Ideas'!$A$2:$A$21,0)),""))</f>
        <v/>
      </c>
      <c r="D35" s="36"/>
      <c r="E35" s="36"/>
      <c r="F35" s="37"/>
      <c r="G35" s="37"/>
      <c r="H35" s="37"/>
      <c r="I35" s="37"/>
      <c r="J35" s="37"/>
      <c r="K35" s="37"/>
      <c r="L35" s="15" t="str">
        <f aca="false">IF(F35="","",IFERROR(I35/F35,0))</f>
        <v/>
      </c>
      <c r="M35" s="15" t="str">
        <f aca="false">IF(F35="","",IFERROR(J35/F35,0))</f>
        <v/>
      </c>
      <c r="N35" s="18" t="str">
        <f aca="false">IF(F35="","",IFERROR(F35/$D$5,0))</f>
        <v/>
      </c>
      <c r="O35" s="6" t="str">
        <f aca="false">IF(F35="","",IF(N35&gt;=$D$6,"Make a sequel within 3 days",IF(AND(N35&lt;1,M35&gt;=$D$8),"Good idea, weak hook: re-post with a new first second",IF(AND(N35&gt;=1,L35&lt;$D$7),"Entertained but not useful: add a share prompt","Keep and watch"))))</f>
        <v/>
      </c>
    </row>
    <row r="36" customFormat="false" ht="15" hidden="false" customHeight="false" outlineLevel="0" collapsed="false">
      <c r="A36" s="35"/>
      <c r="B36" s="36"/>
      <c r="C36" s="6" t="str">
        <f aca="false">IF(B36="","",IFERROR(INDEX('20 Ideas'!$C$2:$C$21,MATCH(B36,'20 Ideas'!$A$2:$A$21,0)),""))</f>
        <v/>
      </c>
      <c r="D36" s="36"/>
      <c r="E36" s="36"/>
      <c r="F36" s="37"/>
      <c r="G36" s="37"/>
      <c r="H36" s="37"/>
      <c r="I36" s="37"/>
      <c r="J36" s="37"/>
      <c r="K36" s="37"/>
      <c r="L36" s="15" t="str">
        <f aca="false">IF(F36="","",IFERROR(I36/F36,0))</f>
        <v/>
      </c>
      <c r="M36" s="15" t="str">
        <f aca="false">IF(F36="","",IFERROR(J36/F36,0))</f>
        <v/>
      </c>
      <c r="N36" s="18" t="str">
        <f aca="false">IF(F36="","",IFERROR(F36/$D$5,0))</f>
        <v/>
      </c>
      <c r="O36" s="6" t="str">
        <f aca="false">IF(F36="","",IF(N36&gt;=$D$6,"Make a sequel within 3 days",IF(AND(N36&lt;1,M36&gt;=$D$8),"Good idea, weak hook: re-post with a new first second",IF(AND(N36&gt;=1,L36&lt;$D$7),"Entertained but not useful: add a share prompt","Keep and watch"))))</f>
        <v/>
      </c>
    </row>
    <row r="37" customFormat="false" ht="15" hidden="false" customHeight="false" outlineLevel="0" collapsed="false">
      <c r="A37" s="35"/>
      <c r="B37" s="36"/>
      <c r="C37" s="6" t="str">
        <f aca="false">IF(B37="","",IFERROR(INDEX('20 Ideas'!$C$2:$C$21,MATCH(B37,'20 Ideas'!$A$2:$A$21,0)),""))</f>
        <v/>
      </c>
      <c r="D37" s="36"/>
      <c r="E37" s="36"/>
      <c r="F37" s="37"/>
      <c r="G37" s="37"/>
      <c r="H37" s="37"/>
      <c r="I37" s="37"/>
      <c r="J37" s="37"/>
      <c r="K37" s="37"/>
      <c r="L37" s="15" t="str">
        <f aca="false">IF(F37="","",IFERROR(I37/F37,0))</f>
        <v/>
      </c>
      <c r="M37" s="15" t="str">
        <f aca="false">IF(F37="","",IFERROR(J37/F37,0))</f>
        <v/>
      </c>
      <c r="N37" s="18" t="str">
        <f aca="false">IF(F37="","",IFERROR(F37/$D$5,0))</f>
        <v/>
      </c>
      <c r="O37" s="6" t="str">
        <f aca="false">IF(F37="","",IF(N37&gt;=$D$6,"Make a sequel within 3 days",IF(AND(N37&lt;1,M37&gt;=$D$8),"Good idea, weak hook: re-post with a new first second",IF(AND(N37&gt;=1,L37&lt;$D$7),"Entertained but not useful: add a share prompt","Keep and watch"))))</f>
        <v/>
      </c>
    </row>
    <row r="38" customFormat="false" ht="15" hidden="false" customHeight="false" outlineLevel="0" collapsed="false">
      <c r="A38" s="35"/>
      <c r="B38" s="36"/>
      <c r="C38" s="6" t="str">
        <f aca="false">IF(B38="","",IFERROR(INDEX('20 Ideas'!$C$2:$C$21,MATCH(B38,'20 Ideas'!$A$2:$A$21,0)),""))</f>
        <v/>
      </c>
      <c r="D38" s="36"/>
      <c r="E38" s="36"/>
      <c r="F38" s="37"/>
      <c r="G38" s="37"/>
      <c r="H38" s="37"/>
      <c r="I38" s="37"/>
      <c r="J38" s="37"/>
      <c r="K38" s="37"/>
      <c r="L38" s="15" t="str">
        <f aca="false">IF(F38="","",IFERROR(I38/F38,0))</f>
        <v/>
      </c>
      <c r="M38" s="15" t="str">
        <f aca="false">IF(F38="","",IFERROR(J38/F38,0))</f>
        <v/>
      </c>
      <c r="N38" s="18" t="str">
        <f aca="false">IF(F38="","",IFERROR(F38/$D$5,0))</f>
        <v/>
      </c>
      <c r="O38" s="6" t="str">
        <f aca="false">IF(F38="","",IF(N38&gt;=$D$6,"Make a sequel within 3 days",IF(AND(N38&lt;1,M38&gt;=$D$8),"Good idea, weak hook: re-post with a new first second",IF(AND(N38&gt;=1,L38&lt;$D$7),"Entertained but not useful: add a share prompt","Keep and watch"))))</f>
        <v/>
      </c>
    </row>
    <row r="39" customFormat="false" ht="15" hidden="false" customHeight="false" outlineLevel="0" collapsed="false">
      <c r="A39" s="35"/>
      <c r="B39" s="36"/>
      <c r="C39" s="6" t="str">
        <f aca="false">IF(B39="","",IFERROR(INDEX('20 Ideas'!$C$2:$C$21,MATCH(B39,'20 Ideas'!$A$2:$A$21,0)),""))</f>
        <v/>
      </c>
      <c r="D39" s="36"/>
      <c r="E39" s="36"/>
      <c r="F39" s="37"/>
      <c r="G39" s="37"/>
      <c r="H39" s="37"/>
      <c r="I39" s="37"/>
      <c r="J39" s="37"/>
      <c r="K39" s="37"/>
      <c r="L39" s="15" t="str">
        <f aca="false">IF(F39="","",IFERROR(I39/F39,0))</f>
        <v/>
      </c>
      <c r="M39" s="15" t="str">
        <f aca="false">IF(F39="","",IFERROR(J39/F39,0))</f>
        <v/>
      </c>
      <c r="N39" s="18" t="str">
        <f aca="false">IF(F39="","",IFERROR(F39/$D$5,0))</f>
        <v/>
      </c>
      <c r="O39" s="6" t="str">
        <f aca="false">IF(F39="","",IF(N39&gt;=$D$6,"Make a sequel within 3 days",IF(AND(N39&lt;1,M39&gt;=$D$8),"Good idea, weak hook: re-post with a new first second",IF(AND(N39&gt;=1,L39&lt;$D$7),"Entertained but not useful: add a share prompt","Keep and watch"))))</f>
        <v/>
      </c>
    </row>
    <row r="40" customFormat="false" ht="15" hidden="false" customHeight="false" outlineLevel="0" collapsed="false">
      <c r="A40" s="35"/>
      <c r="B40" s="36"/>
      <c r="C40" s="6" t="str">
        <f aca="false">IF(B40="","",IFERROR(INDEX('20 Ideas'!$C$2:$C$21,MATCH(B40,'20 Ideas'!$A$2:$A$21,0)),""))</f>
        <v/>
      </c>
      <c r="D40" s="36"/>
      <c r="E40" s="36"/>
      <c r="F40" s="37"/>
      <c r="G40" s="37"/>
      <c r="H40" s="37"/>
      <c r="I40" s="37"/>
      <c r="J40" s="37"/>
      <c r="K40" s="37"/>
      <c r="L40" s="15" t="str">
        <f aca="false">IF(F40="","",IFERROR(I40/F40,0))</f>
        <v/>
      </c>
      <c r="M40" s="15" t="str">
        <f aca="false">IF(F40="","",IFERROR(J40/F40,0))</f>
        <v/>
      </c>
      <c r="N40" s="18" t="str">
        <f aca="false">IF(F40="","",IFERROR(F40/$D$5,0))</f>
        <v/>
      </c>
      <c r="O40" s="6" t="str">
        <f aca="false">IF(F40="","",IF(N40&gt;=$D$6,"Make a sequel within 3 days",IF(AND(N40&lt;1,M40&gt;=$D$8),"Good idea, weak hook: re-post with a new first second",IF(AND(N40&gt;=1,L40&lt;$D$7),"Entertained but not useful: add a share prompt","Keep and watch"))))</f>
        <v/>
      </c>
    </row>
    <row r="42" customFormat="false" ht="30" hidden="false" customHeight="true" outlineLevel="0" collapsed="false">
      <c r="A42" s="29" t="s">
        <v>1116</v>
      </c>
      <c r="B42" s="29"/>
      <c r="C42" s="29"/>
      <c r="D42" s="29"/>
      <c r="E42" s="29"/>
      <c r="F42" s="29"/>
      <c r="G42" s="29"/>
      <c r="H42" s="29"/>
      <c r="I42" s="29"/>
      <c r="J42" s="29"/>
      <c r="K42" s="29"/>
      <c r="L42" s="29"/>
      <c r="M42" s="29"/>
      <c r="N42" s="29"/>
      <c r="O42" s="29"/>
    </row>
  </sheetData>
  <mergeCells count="9">
    <mergeCell ref="A5:C5"/>
    <mergeCell ref="E5:O5"/>
    <mergeCell ref="A6:C6"/>
    <mergeCell ref="E6:O6"/>
    <mergeCell ref="A7:C7"/>
    <mergeCell ref="E7:O7"/>
    <mergeCell ref="A8:C8"/>
    <mergeCell ref="E8:O8"/>
    <mergeCell ref="A42:O42"/>
  </mergeCells>
  <dataValidations count="2">
    <dataValidation allowBlank="true" errorStyle="stop" operator="between" showDropDown="false" showErrorMessage="false" showInputMessage="false" sqref="D11:D40" type="list">
      <formula1>"A,B"</formula1>
      <formula2>0</formula2>
    </dataValidation>
    <dataValidation allowBlank="true" errorStyle="stop" operator="between" showDropDown="false" showErrorMessage="false" showInputMessage="false" sqref="E11:E40" type="list">
      <formula1>"TikTok,Instagram Reels"</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D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0"/>
    <col collapsed="false" customWidth="true" hidden="false" outlineLevel="0" max="3" min="3" style="0" width="60"/>
    <col collapsed="false" customWidth="true" hidden="false" outlineLevel="0" max="4" min="4" style="0" width="20"/>
  </cols>
  <sheetData>
    <row r="1" customFormat="false" ht="24" hidden="false" customHeight="true" outlineLevel="0" collapsed="false">
      <c r="A1" s="1" t="s">
        <v>1117</v>
      </c>
    </row>
    <row r="2" customFormat="false" ht="15" hidden="false" customHeight="false" outlineLevel="0" collapsed="false">
      <c r="A2" s="2" t="s">
        <v>1118</v>
      </c>
    </row>
    <row r="4" customFormat="false" ht="15" hidden="false" customHeight="false" outlineLevel="0" collapsed="false">
      <c r="A4" s="3" t="s">
        <v>1119</v>
      </c>
      <c r="B4" s="3"/>
      <c r="C4" s="3"/>
      <c r="D4" s="3"/>
    </row>
    <row r="5" customFormat="false" ht="15" hidden="false" customHeight="false" outlineLevel="0" collapsed="false">
      <c r="A5" s="4" t="s">
        <v>1120</v>
      </c>
      <c r="B5" s="4" t="s">
        <v>549</v>
      </c>
    </row>
    <row r="6" customFormat="false" ht="23.85" hidden="false" customHeight="false" outlineLevel="0" collapsed="false">
      <c r="A6" s="6" t="s">
        <v>1121</v>
      </c>
      <c r="B6" s="6" t="s">
        <v>1122</v>
      </c>
    </row>
    <row r="7" customFormat="false" ht="15" hidden="false" customHeight="false" outlineLevel="0" collapsed="false">
      <c r="A7" s="6" t="s">
        <v>1123</v>
      </c>
      <c r="B7" s="6" t="s">
        <v>1124</v>
      </c>
    </row>
    <row r="8" customFormat="false" ht="23.85" hidden="false" customHeight="false" outlineLevel="0" collapsed="false">
      <c r="A8" s="6" t="s">
        <v>1125</v>
      </c>
      <c r="B8" s="6" t="s">
        <v>1126</v>
      </c>
    </row>
    <row r="9" customFormat="false" ht="23.85" hidden="false" customHeight="false" outlineLevel="0" collapsed="false">
      <c r="A9" s="6" t="s">
        <v>1127</v>
      </c>
      <c r="B9" s="6" t="s">
        <v>1128</v>
      </c>
    </row>
    <row r="10" customFormat="false" ht="15" hidden="false" customHeight="false" outlineLevel="0" collapsed="false">
      <c r="A10" s="6" t="s">
        <v>1129</v>
      </c>
      <c r="B10" s="6" t="s">
        <v>1130</v>
      </c>
    </row>
    <row r="13" customFormat="false" ht="15" hidden="false" customHeight="false" outlineLevel="0" collapsed="false">
      <c r="A13" s="3" t="s">
        <v>1131</v>
      </c>
      <c r="B13" s="3"/>
      <c r="C13" s="3"/>
      <c r="D13" s="3"/>
    </row>
    <row r="14" customFormat="false" ht="23.85" hidden="false" customHeight="false" outlineLevel="0" collapsed="false">
      <c r="B14" s="8" t="s">
        <v>1132</v>
      </c>
    </row>
    <row r="15" customFormat="false" ht="23.85" hidden="false" customHeight="false" outlineLevel="0" collapsed="false">
      <c r="B15" s="8" t="s">
        <v>1133</v>
      </c>
    </row>
    <row r="16" customFormat="false" ht="15" hidden="false" customHeight="false" outlineLevel="0" collapsed="false">
      <c r="B16" s="8" t="s">
        <v>1134</v>
      </c>
    </row>
    <row r="17" customFormat="false" ht="15" hidden="false" customHeight="false" outlineLevel="0" collapsed="false">
      <c r="B17" s="8" t="s">
        <v>1135</v>
      </c>
    </row>
    <row r="18" customFormat="false" ht="15" hidden="false" customHeight="false" outlineLevel="0" collapsed="false">
      <c r="B18" s="8" t="s">
        <v>1136</v>
      </c>
    </row>
    <row r="19" customFormat="false" ht="23.85" hidden="false" customHeight="false" outlineLevel="0" collapsed="false">
      <c r="B19" s="8" t="s">
        <v>1137</v>
      </c>
    </row>
    <row r="20" customFormat="false" ht="15" hidden="false" customHeight="false" outlineLevel="0" collapsed="false">
      <c r="B20" s="8" t="s">
        <v>1138</v>
      </c>
    </row>
    <row r="21" customFormat="false" ht="23.85" hidden="false" customHeight="false" outlineLevel="0" collapsed="false">
      <c r="B21" s="8" t="s">
        <v>1139</v>
      </c>
    </row>
    <row r="23" customFormat="false" ht="15" hidden="false" customHeight="false" outlineLevel="0" collapsed="false">
      <c r="A23" s="3" t="s">
        <v>1140</v>
      </c>
      <c r="B23" s="3"/>
      <c r="C23" s="3"/>
      <c r="D23" s="3"/>
    </row>
    <row r="24" customFormat="false" ht="15" hidden="false" customHeight="false" outlineLevel="0" collapsed="false">
      <c r="B24" s="8" t="s">
        <v>1141</v>
      </c>
    </row>
    <row r="25" customFormat="false" ht="15" hidden="false" customHeight="false" outlineLevel="0" collapsed="false">
      <c r="B25" s="8" t="s">
        <v>1142</v>
      </c>
    </row>
    <row r="26" customFormat="false" ht="15" hidden="false" customHeight="false" outlineLevel="0" collapsed="false">
      <c r="B26" s="8" t="s">
        <v>1143</v>
      </c>
    </row>
    <row r="27" customFormat="false" ht="15" hidden="false" customHeight="false" outlineLevel="0" collapsed="false">
      <c r="B27" s="8" t="s">
        <v>1144</v>
      </c>
    </row>
    <row r="28" customFormat="false" ht="23.85" hidden="false" customHeight="false" outlineLevel="0" collapsed="false">
      <c r="B28" s="8" t="s">
        <v>1145</v>
      </c>
    </row>
    <row r="29" customFormat="false" ht="23.85" hidden="false" customHeight="false" outlineLevel="0" collapsed="false">
      <c r="B29" s="8" t="s">
        <v>1146</v>
      </c>
    </row>
    <row r="30" customFormat="false" ht="23.85" hidden="false" customHeight="false" outlineLevel="0" collapsed="false">
      <c r="B30" s="8" t="s">
        <v>1147</v>
      </c>
    </row>
    <row r="31" customFormat="false" ht="15" hidden="false" customHeight="false" outlineLevel="0" collapsed="false">
      <c r="B31" s="8" t="s">
        <v>1148</v>
      </c>
    </row>
    <row r="32" customFormat="false" ht="15" hidden="false" customHeight="false" outlineLevel="0" collapsed="false">
      <c r="B32" s="8" t="s">
        <v>1149</v>
      </c>
    </row>
    <row r="33" customFormat="false" ht="15" hidden="false" customHeight="false" outlineLevel="0" collapsed="false">
      <c r="B33" s="8" t="s">
        <v>1150</v>
      </c>
    </row>
    <row r="35" customFormat="false" ht="15" hidden="false" customHeight="false" outlineLevel="0" collapsed="false">
      <c r="A35" s="3" t="s">
        <v>1151</v>
      </c>
      <c r="B35" s="3"/>
      <c r="C35" s="3"/>
      <c r="D35" s="3"/>
    </row>
    <row r="36" customFormat="false" ht="23.85" hidden="false" customHeight="false" outlineLevel="0" collapsed="false">
      <c r="B36" s="8" t="s">
        <v>1152</v>
      </c>
    </row>
    <row r="37" customFormat="false" ht="15" hidden="false" customHeight="false" outlineLevel="0" collapsed="false">
      <c r="B37" s="8" t="s">
        <v>1153</v>
      </c>
    </row>
    <row r="38" customFormat="false" ht="15" hidden="false" customHeight="false" outlineLevel="0" collapsed="false">
      <c r="B38" s="8" t="s">
        <v>1154</v>
      </c>
    </row>
    <row r="39" customFormat="false" ht="35.05" hidden="false" customHeight="false" outlineLevel="0" collapsed="false">
      <c r="B39" s="8" t="s">
        <v>1155</v>
      </c>
    </row>
    <row r="40" customFormat="false" ht="23.85" hidden="false" customHeight="false" outlineLevel="0" collapsed="false">
      <c r="B40" s="8" t="s">
        <v>1156</v>
      </c>
    </row>
    <row r="42" customFormat="false" ht="15" hidden="false" customHeight="false" outlineLevel="0" collapsed="false">
      <c r="A42" s="3" t="s">
        <v>1157</v>
      </c>
      <c r="B42" s="3"/>
      <c r="C42" s="3"/>
      <c r="D42" s="3"/>
    </row>
    <row r="43" customFormat="false" ht="15" hidden="false" customHeight="false" outlineLevel="0" collapsed="false">
      <c r="B43" s="8" t="s">
        <v>1158</v>
      </c>
    </row>
    <row r="44" customFormat="false" ht="23.85" hidden="false" customHeight="false" outlineLevel="0" collapsed="false">
      <c r="B44" s="8" t="s">
        <v>1159</v>
      </c>
    </row>
    <row r="46" customFormat="false" ht="15" hidden="false" customHeight="false" outlineLevel="0" collapsed="false">
      <c r="A46" s="3" t="s">
        <v>1160</v>
      </c>
      <c r="B46" s="3"/>
      <c r="C46" s="3"/>
      <c r="D46" s="3"/>
    </row>
    <row r="47" customFormat="false" ht="23.85" hidden="false" customHeight="false" outlineLevel="0" collapsed="false">
      <c r="B47" s="8" t="s">
        <v>1161</v>
      </c>
    </row>
    <row r="48" customFormat="false" ht="23.85" hidden="false" customHeight="false" outlineLevel="0" collapsed="false">
      <c r="B48" s="8" t="s">
        <v>1162</v>
      </c>
    </row>
    <row r="49" customFormat="false" ht="23.85" hidden="false" customHeight="false" outlineLevel="0" collapsed="false">
      <c r="B49" s="8" t="s">
        <v>1163</v>
      </c>
    </row>
    <row r="50" customFormat="false" ht="15" hidden="false" customHeight="false" outlineLevel="0" collapsed="false">
      <c r="B50" s="8" t="s">
        <v>1164</v>
      </c>
    </row>
    <row r="51" customFormat="false" ht="15" hidden="false" customHeight="false" outlineLevel="0" collapsed="false">
      <c r="B51" s="8" t="s">
        <v>1165</v>
      </c>
    </row>
    <row r="53" customFormat="false" ht="15" hidden="false" customHeight="false" outlineLevel="0" collapsed="false">
      <c r="A53" s="3" t="s">
        <v>1166</v>
      </c>
      <c r="B53" s="3"/>
      <c r="C53" s="3"/>
      <c r="D53" s="3"/>
    </row>
    <row r="54" customFormat="false" ht="15" hidden="false" customHeight="false" outlineLevel="0" collapsed="false">
      <c r="B54" s="8" t="s">
        <v>1167</v>
      </c>
    </row>
    <row r="55" customFormat="false" ht="23.85" hidden="false" customHeight="false" outlineLevel="0" collapsed="false">
      <c r="B55" s="8" t="s">
        <v>1168</v>
      </c>
    </row>
    <row r="56" customFormat="false" ht="15" hidden="false" customHeight="false" outlineLevel="0" collapsed="false">
      <c r="B56" s="8" t="s">
        <v>1169</v>
      </c>
    </row>
    <row r="57" customFormat="false" ht="15" hidden="false" customHeight="false" outlineLevel="0" collapsed="false">
      <c r="B57" s="8" t="s">
        <v>1170</v>
      </c>
    </row>
    <row r="58" customFormat="false" ht="15" hidden="false" customHeight="false" outlineLevel="0" collapsed="false">
      <c r="B58" s="8" t="s">
        <v>1171</v>
      </c>
    </row>
    <row r="60" customFormat="false" ht="15" hidden="false" customHeight="false" outlineLevel="0" collapsed="false">
      <c r="A60" s="3" t="s">
        <v>1172</v>
      </c>
      <c r="B60" s="3"/>
      <c r="C60" s="3"/>
      <c r="D60" s="3"/>
    </row>
    <row r="61" customFormat="false" ht="23.85" hidden="false" customHeight="false" outlineLevel="0" collapsed="false">
      <c r="B61" s="8" t="s">
        <v>1173</v>
      </c>
    </row>
    <row r="62" customFormat="false" ht="15" hidden="false" customHeight="false" outlineLevel="0" collapsed="false">
      <c r="A62" s="4" t="s">
        <v>1174</v>
      </c>
      <c r="B62" s="4" t="s">
        <v>1175</v>
      </c>
    </row>
    <row r="63" customFormat="false" ht="15" hidden="false" customHeight="false" outlineLevel="0" collapsed="false">
      <c r="A63" s="6" t="s">
        <v>1176</v>
      </c>
      <c r="B63" s="6" t="s">
        <v>1177</v>
      </c>
    </row>
    <row r="64" customFormat="false" ht="15" hidden="false" customHeight="false" outlineLevel="0" collapsed="false">
      <c r="A64" s="6" t="s">
        <v>1178</v>
      </c>
      <c r="B64" s="6" t="s">
        <v>1179</v>
      </c>
    </row>
    <row r="65" customFormat="false" ht="15" hidden="false" customHeight="false" outlineLevel="0" collapsed="false">
      <c r="A65" s="6" t="s">
        <v>1180</v>
      </c>
      <c r="B65" s="6" t="s">
        <v>1181</v>
      </c>
    </row>
    <row r="66" customFormat="false" ht="15" hidden="false" customHeight="false" outlineLevel="0" collapsed="false">
      <c r="A66" s="6" t="s">
        <v>1182</v>
      </c>
      <c r="B66" s="6" t="s">
        <v>1183</v>
      </c>
    </row>
    <row r="67" customFormat="false" ht="23.85" hidden="false" customHeight="false" outlineLevel="0" collapsed="false">
      <c r="A67" s="6" t="s">
        <v>1184</v>
      </c>
      <c r="B67" s="6" t="s">
        <v>1185</v>
      </c>
    </row>
    <row r="68" customFormat="false" ht="23.85" hidden="false" customHeight="false" outlineLevel="0" collapsed="false">
      <c r="A68" s="6" t="s">
        <v>1186</v>
      </c>
      <c r="B68" s="6" t="s">
        <v>1187</v>
      </c>
    </row>
    <row r="70" customFormat="false" ht="15" hidden="false" customHeight="false" outlineLevel="0" collapsed="false">
      <c r="B70" s="8" t="s">
        <v>1188</v>
      </c>
    </row>
    <row r="72" customFormat="false" ht="15" hidden="false" customHeight="false" outlineLevel="0" collapsed="false">
      <c r="A72" s="3" t="s">
        <v>1189</v>
      </c>
      <c r="B72" s="3"/>
      <c r="C72" s="3"/>
      <c r="D72" s="3"/>
    </row>
    <row r="73" customFormat="false" ht="23.85" hidden="false" customHeight="false" outlineLevel="0" collapsed="false">
      <c r="A73" s="25" t="s">
        <v>1190</v>
      </c>
      <c r="B73" s="8" t="s">
        <v>1191</v>
      </c>
    </row>
    <row r="74" customFormat="false" ht="15" hidden="false" customHeight="false" outlineLevel="0" collapsed="false">
      <c r="A74" s="25" t="s">
        <v>1190</v>
      </c>
      <c r="B74" s="8" t="s">
        <v>1192</v>
      </c>
    </row>
    <row r="75" customFormat="false" ht="15" hidden="false" customHeight="false" outlineLevel="0" collapsed="false">
      <c r="A75" s="25" t="s">
        <v>1190</v>
      </c>
      <c r="B75" s="8" t="s">
        <v>1193</v>
      </c>
    </row>
    <row r="76" customFormat="false" ht="15" hidden="false" customHeight="false" outlineLevel="0" collapsed="false">
      <c r="A76" s="25" t="s">
        <v>1190</v>
      </c>
      <c r="B76" s="8" t="s">
        <v>1194</v>
      </c>
    </row>
    <row r="77" customFormat="false" ht="15" hidden="false" customHeight="false" outlineLevel="0" collapsed="false">
      <c r="A77" s="25" t="s">
        <v>1190</v>
      </c>
      <c r="B77" s="8" t="s">
        <v>1195</v>
      </c>
    </row>
    <row r="79" customFormat="false" ht="15" hidden="false" customHeight="false" outlineLevel="0" collapsed="false">
      <c r="A79" s="3" t="s">
        <v>1088</v>
      </c>
      <c r="B79" s="3"/>
      <c r="C79" s="3"/>
      <c r="D79" s="3"/>
    </row>
    <row r="80" customFormat="false" ht="23.85" hidden="false" customHeight="false" outlineLevel="0" collapsed="false">
      <c r="B80" s="8" t="s">
        <v>1089</v>
      </c>
    </row>
    <row r="81" customFormat="false" ht="15" hidden="false" customHeight="false" outlineLevel="0" collapsed="false">
      <c r="B81" s="8" t="s">
        <v>1090</v>
      </c>
    </row>
    <row r="82" customFormat="false" ht="23.85" hidden="false" customHeight="false" outlineLevel="0" collapsed="false">
      <c r="B82" s="8" t="s">
        <v>1091</v>
      </c>
    </row>
    <row r="83" customFormat="false" ht="15" hidden="false" customHeight="false" outlineLevel="0" collapsed="false">
      <c r="B83" s="8" t="s">
        <v>1092</v>
      </c>
    </row>
    <row r="85" customFormat="false" ht="15" hidden="false" customHeight="false" outlineLevel="0" collapsed="false">
      <c r="A85" s="3" t="s">
        <v>1093</v>
      </c>
      <c r="B85" s="3"/>
      <c r="C85" s="3"/>
      <c r="D85" s="3"/>
    </row>
    <row r="86" customFormat="false" ht="15" hidden="false" customHeight="false" outlineLevel="0" collapsed="false">
      <c r="B86" s="8" t="s">
        <v>1094</v>
      </c>
    </row>
    <row r="87" customFormat="false" ht="15" hidden="false" customHeight="false" outlineLevel="0" collapsed="false">
      <c r="B87" s="8" t="s">
        <v>1095</v>
      </c>
    </row>
    <row r="88" customFormat="false" ht="15" hidden="false" customHeight="false" outlineLevel="0" collapsed="false">
      <c r="B88" s="8" t="s">
        <v>1096</v>
      </c>
    </row>
  </sheetData>
  <dataValidations count="1">
    <dataValidation allowBlank="true" errorStyle="stop" operator="between" showDropDown="false" showErrorMessage="false" showInputMessage="false" sqref="A73:A77"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0"/>
    <col collapsed="false" customWidth="true" hidden="false" outlineLevel="0" max="4" min="4" style="0" width="28"/>
    <col collapsed="false" customWidth="true" hidden="false" outlineLevel="0" max="5" min="5" style="0" width="12"/>
    <col collapsed="false" customWidth="true" hidden="false" outlineLevel="0" max="6" min="6" style="0" width="60"/>
  </cols>
  <sheetData>
    <row r="1" customFormat="false" ht="15" hidden="false" customHeight="false" outlineLevel="0" collapsed="false">
      <c r="A1" s="4" t="s">
        <v>1196</v>
      </c>
      <c r="B1" s="4" t="s">
        <v>85</v>
      </c>
      <c r="C1" s="4" t="s">
        <v>90</v>
      </c>
      <c r="D1" s="4" t="s">
        <v>283</v>
      </c>
      <c r="E1" s="4" t="s">
        <v>150</v>
      </c>
      <c r="F1" s="4" t="s">
        <v>1197</v>
      </c>
    </row>
    <row r="2" customFormat="false" ht="15" hidden="false" customHeight="false" outlineLevel="0" collapsed="false">
      <c r="A2" s="6" t="s">
        <v>1198</v>
      </c>
      <c r="B2" s="17" t="n">
        <v>8300000</v>
      </c>
      <c r="C2" s="6" t="n">
        <v>7</v>
      </c>
      <c r="D2" s="6" t="s">
        <v>231</v>
      </c>
      <c r="E2" s="17" t="n">
        <v>602200</v>
      </c>
      <c r="F2" s="5" t="s">
        <v>1199</v>
      </c>
    </row>
    <row r="3" customFormat="false" ht="15" hidden="false" customHeight="false" outlineLevel="0" collapsed="false">
      <c r="A3" s="6" t="s">
        <v>1198</v>
      </c>
      <c r="B3" s="17" t="n">
        <v>5900000</v>
      </c>
      <c r="C3" s="6" t="n">
        <v>11</v>
      </c>
      <c r="D3" s="6" t="s">
        <v>231</v>
      </c>
      <c r="E3" s="17" t="n">
        <v>602200</v>
      </c>
      <c r="F3" s="5" t="s">
        <v>1200</v>
      </c>
    </row>
    <row r="4" customFormat="false" ht="15" hidden="false" customHeight="false" outlineLevel="0" collapsed="false">
      <c r="A4" s="6" t="s">
        <v>1198</v>
      </c>
      <c r="B4" s="17" t="n">
        <v>1800000</v>
      </c>
      <c r="C4" s="6" t="n">
        <v>5</v>
      </c>
      <c r="D4" s="6" t="s">
        <v>231</v>
      </c>
      <c r="E4" s="17" t="n">
        <v>602300</v>
      </c>
      <c r="F4" s="5" t="s">
        <v>1201</v>
      </c>
    </row>
    <row r="5" customFormat="false" ht="15" hidden="false" customHeight="false" outlineLevel="0" collapsed="false">
      <c r="A5" s="6" t="s">
        <v>1198</v>
      </c>
      <c r="B5" s="17" t="n">
        <v>1700000</v>
      </c>
      <c r="C5" s="6" t="n">
        <v>51</v>
      </c>
      <c r="D5" s="6" t="s">
        <v>290</v>
      </c>
      <c r="E5" s="17" t="n">
        <v>18100</v>
      </c>
      <c r="F5" s="5" t="s">
        <v>1202</v>
      </c>
    </row>
    <row r="6" customFormat="false" ht="15" hidden="false" customHeight="false" outlineLevel="0" collapsed="false">
      <c r="A6" s="6" t="s">
        <v>1198</v>
      </c>
      <c r="B6" s="17" t="n">
        <v>1300000</v>
      </c>
      <c r="C6" s="6" t="n">
        <v>18</v>
      </c>
      <c r="D6" s="6" t="s">
        <v>231</v>
      </c>
      <c r="E6" s="17" t="n">
        <v>602200</v>
      </c>
      <c r="F6" s="5" t="s">
        <v>1203</v>
      </c>
    </row>
    <row r="7" customFormat="false" ht="15" hidden="false" customHeight="false" outlineLevel="0" collapsed="false">
      <c r="A7" s="6" t="s">
        <v>1198</v>
      </c>
      <c r="B7" s="17" t="n">
        <v>1100000</v>
      </c>
      <c r="C7" s="6" t="n">
        <v>66</v>
      </c>
      <c r="D7" s="6" t="s">
        <v>1204</v>
      </c>
      <c r="E7" s="17" t="n">
        <v>46900</v>
      </c>
      <c r="F7" s="5" t="s">
        <v>1205</v>
      </c>
    </row>
    <row r="8" customFormat="false" ht="15" hidden="false" customHeight="false" outlineLevel="0" collapsed="false">
      <c r="A8" s="6" t="s">
        <v>1198</v>
      </c>
      <c r="B8" s="17" t="n">
        <v>839000</v>
      </c>
      <c r="C8" s="6" t="n">
        <v>23</v>
      </c>
      <c r="D8" s="6" t="s">
        <v>298</v>
      </c>
      <c r="E8" s="17" t="n">
        <v>74500</v>
      </c>
      <c r="F8" s="5" t="s">
        <v>1206</v>
      </c>
    </row>
    <row r="9" customFormat="false" ht="15" hidden="false" customHeight="false" outlineLevel="0" collapsed="false">
      <c r="A9" s="6" t="s">
        <v>1198</v>
      </c>
      <c r="B9" s="17" t="n">
        <v>446300</v>
      </c>
      <c r="C9" s="6" t="n">
        <v>32</v>
      </c>
      <c r="D9" s="6" t="s">
        <v>293</v>
      </c>
      <c r="E9" s="17" t="n">
        <v>47400</v>
      </c>
      <c r="F9" s="5" t="s">
        <v>1207</v>
      </c>
    </row>
    <row r="10" customFormat="false" ht="15" hidden="false" customHeight="false" outlineLevel="0" collapsed="false">
      <c r="A10" s="6" t="s">
        <v>1198</v>
      </c>
      <c r="B10" s="17" t="n">
        <v>418000</v>
      </c>
      <c r="C10" s="6" t="n">
        <v>52</v>
      </c>
      <c r="D10" s="6" t="s">
        <v>1208</v>
      </c>
      <c r="E10" s="17" t="n">
        <v>25400</v>
      </c>
      <c r="F10" s="5" t="s">
        <v>1209</v>
      </c>
    </row>
    <row r="11" customFormat="false" ht="15" hidden="false" customHeight="false" outlineLevel="0" collapsed="false">
      <c r="A11" s="6" t="s">
        <v>1198</v>
      </c>
      <c r="B11" s="17" t="n">
        <v>355700</v>
      </c>
      <c r="C11" s="6" t="n">
        <v>13</v>
      </c>
      <c r="D11" s="6" t="s">
        <v>231</v>
      </c>
      <c r="E11" s="17" t="n">
        <v>602300</v>
      </c>
      <c r="F11" s="5" t="s">
        <v>1210</v>
      </c>
    </row>
    <row r="12" customFormat="false" ht="15" hidden="false" customHeight="false" outlineLevel="0" collapsed="false">
      <c r="A12" s="6" t="s">
        <v>1198</v>
      </c>
      <c r="B12" s="17" t="n">
        <v>293400</v>
      </c>
      <c r="C12" s="6" t="n">
        <v>20</v>
      </c>
      <c r="D12" s="6" t="s">
        <v>290</v>
      </c>
      <c r="E12" s="17" t="n">
        <v>18100</v>
      </c>
      <c r="F12" s="5" t="s">
        <v>1211</v>
      </c>
    </row>
    <row r="13" customFormat="false" ht="15" hidden="false" customHeight="false" outlineLevel="0" collapsed="false">
      <c r="A13" s="6" t="s">
        <v>1212</v>
      </c>
      <c r="B13" s="17" t="n">
        <v>9000000</v>
      </c>
      <c r="C13" s="6" t="n">
        <v>18</v>
      </c>
      <c r="D13" s="6" t="s">
        <v>320</v>
      </c>
      <c r="E13" s="17" t="n">
        <v>206000</v>
      </c>
      <c r="F13" s="5" t="s">
        <v>1213</v>
      </c>
    </row>
    <row r="14" customFormat="false" ht="15" hidden="false" customHeight="false" outlineLevel="0" collapsed="false">
      <c r="A14" s="6" t="s">
        <v>1212</v>
      </c>
      <c r="B14" s="17" t="n">
        <v>3200000</v>
      </c>
      <c r="C14" s="6" t="n">
        <v>11</v>
      </c>
      <c r="D14" s="6" t="s">
        <v>325</v>
      </c>
      <c r="E14" s="17" t="n">
        <v>16400</v>
      </c>
      <c r="F14" s="5" t="s">
        <v>1214</v>
      </c>
    </row>
    <row r="15" customFormat="false" ht="15" hidden="false" customHeight="false" outlineLevel="0" collapsed="false">
      <c r="A15" s="6" t="s">
        <v>1212</v>
      </c>
      <c r="B15" s="17" t="n">
        <v>3000000</v>
      </c>
      <c r="C15" s="6" t="n">
        <v>14</v>
      </c>
      <c r="D15" s="6" t="s">
        <v>323</v>
      </c>
      <c r="E15" s="17" t="n">
        <v>208900</v>
      </c>
      <c r="F15" s="5" t="s">
        <v>1215</v>
      </c>
    </row>
    <row r="16" customFormat="false" ht="15" hidden="false" customHeight="false" outlineLevel="0" collapsed="false">
      <c r="A16" s="6" t="s">
        <v>1212</v>
      </c>
      <c r="B16" s="17" t="n">
        <v>3000000</v>
      </c>
      <c r="C16" s="6" t="n">
        <v>14</v>
      </c>
      <c r="D16" s="6" t="s">
        <v>323</v>
      </c>
      <c r="E16" s="17" t="n">
        <v>208900</v>
      </c>
      <c r="F16" s="5" t="s">
        <v>1216</v>
      </c>
    </row>
    <row r="17" customFormat="false" ht="15" hidden="false" customHeight="false" outlineLevel="0" collapsed="false">
      <c r="A17" s="6" t="s">
        <v>1212</v>
      </c>
      <c r="B17" s="17" t="n">
        <v>2500000</v>
      </c>
      <c r="C17" s="6" t="n">
        <v>50</v>
      </c>
      <c r="D17" s="6" t="s">
        <v>1217</v>
      </c>
      <c r="E17" s="17" t="n">
        <v>171800</v>
      </c>
      <c r="F17" s="5" t="s">
        <v>1218</v>
      </c>
    </row>
    <row r="18" customFormat="false" ht="15" hidden="false" customHeight="false" outlineLevel="0" collapsed="false">
      <c r="A18" s="6" t="s">
        <v>1212</v>
      </c>
      <c r="B18" s="17" t="n">
        <v>2500000</v>
      </c>
      <c r="C18" s="6" t="n">
        <v>12</v>
      </c>
      <c r="D18" s="6" t="s">
        <v>320</v>
      </c>
      <c r="E18" s="17" t="n">
        <v>206000</v>
      </c>
      <c r="F18" s="5" t="s">
        <v>1219</v>
      </c>
    </row>
  </sheetData>
  <autoFilter ref="A1:F18"/>
  <hyperlinks>
    <hyperlink ref="F2" r:id="rId1" display="https://www.tiktok.com/@proalumad/video/7075315096817306885"/>
    <hyperlink ref="F3" r:id="rId2" display="https://www.tiktok.com/@proalumad/video/7288013328054488326"/>
    <hyperlink ref="F4" r:id="rId3" display="https://www.tiktok.com/@proalumad/video/7591110042548538645"/>
    <hyperlink ref="F5" r:id="rId4" display="https://www.tiktok.com/@alu.mamoune/video/7323879084658887942"/>
    <hyperlink ref="F6" r:id="rId5" display="https://www.tiktok.com/@proalumad/video/7541352573593324808"/>
    <hyperlink ref="F7" r:id="rId6" display="https://www.tiktok.com/@tamarisstores2009/video/7340389793223724294"/>
    <hyperlink ref="F8" r:id="rId7" display="https://www.tiktok.com/@aluminooo/video/7602743628905057557"/>
    <hyperlink ref="F9" r:id="rId8" display="https://www.tiktok.com/@alocuisines/video/7288763769570839813"/>
    <hyperlink ref="F10" r:id="rId9" display="https://www.tiktok.com/@oussamahirche/video/7655816058258853141"/>
    <hyperlink ref="F11" r:id="rId10" display="https://www.tiktok.com/@proalumad/video/7639412122660769045"/>
    <hyperlink ref="F12" r:id="rId11" display="https://www.tiktok.com/@alu.mamoune/video/7555038195470093586"/>
    <hyperlink ref="F13" r:id="rId12" display="https://www.tiktok.com/@chinawindowsdoors/video/7434373688859921672"/>
    <hyperlink ref="F14" r:id="rId13" display="https://www.tiktok.com/@omy.window.and.door0/video/7488288149555334446"/>
    <hyperlink ref="F15" r:id="rId14" display="https://www.tiktok.com/@windowhome1/video/7347574448490319147"/>
    <hyperlink ref="F16" r:id="rId15" display="https://www.tiktok.com/@windowhome1/video/7360507063526608170"/>
    <hyperlink ref="F17" r:id="rId16" display="https://www.tiktok.com/@blinds2go.official/video/7651300960135957782"/>
    <hyperlink ref="F18" r:id="rId17" display="https://www.tiktok.com/@chinawindowsdoors/video/7436946128278424850"/>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8"/>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AD4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4" min="3" style="0" width="11"/>
    <col collapsed="false" customWidth="true" hidden="false" outlineLevel="0" max="5" min="5" style="0" width="9"/>
    <col collapsed="false" customWidth="true" hidden="false" outlineLevel="0" max="6" min="6" style="0" width="11"/>
    <col collapsed="false" customWidth="true" hidden="false" outlineLevel="0" max="10" min="7" style="0" width="9"/>
    <col collapsed="false" customWidth="true" hidden="false" outlineLevel="0" max="11" min="11" style="0" width="10"/>
    <col collapsed="false" customWidth="true" hidden="false" outlineLevel="0" max="12" min="12" style="0" width="60"/>
    <col collapsed="false" customWidth="true" hidden="false" outlineLevel="0" max="14" min="13" style="0" width="10"/>
    <col collapsed="false" customWidth="true" hidden="false" outlineLevel="0" max="30" min="15" style="0" width="9"/>
  </cols>
  <sheetData>
    <row r="1" customFormat="false" ht="42" hidden="false" customHeight="true" outlineLevel="0" collapsed="false">
      <c r="A1" s="4" t="s">
        <v>1220</v>
      </c>
      <c r="B1" s="4" t="s">
        <v>283</v>
      </c>
      <c r="C1" s="4" t="s">
        <v>150</v>
      </c>
      <c r="D1" s="4" t="s">
        <v>82</v>
      </c>
      <c r="E1" s="4" t="s">
        <v>90</v>
      </c>
      <c r="F1" s="4" t="s">
        <v>85</v>
      </c>
      <c r="G1" s="4" t="s">
        <v>86</v>
      </c>
      <c r="H1" s="4" t="s">
        <v>87</v>
      </c>
      <c r="I1" s="4" t="s">
        <v>88</v>
      </c>
      <c r="J1" s="4" t="s">
        <v>89</v>
      </c>
      <c r="K1" s="4" t="s">
        <v>1221</v>
      </c>
      <c r="L1" s="4" t="s">
        <v>1222</v>
      </c>
      <c r="M1" s="4" t="s">
        <v>92</v>
      </c>
      <c r="N1" s="4" t="s">
        <v>93</v>
      </c>
      <c r="O1" s="4" t="s">
        <v>1223</v>
      </c>
      <c r="P1" s="4" t="s">
        <v>1224</v>
      </c>
      <c r="Q1" s="4" t="s">
        <v>1225</v>
      </c>
      <c r="R1" s="4" t="s">
        <v>1226</v>
      </c>
      <c r="S1" s="4" t="s">
        <v>1227</v>
      </c>
      <c r="T1" s="4" t="s">
        <v>1228</v>
      </c>
      <c r="U1" s="4" t="s">
        <v>1229</v>
      </c>
      <c r="V1" s="4" t="s">
        <v>1230</v>
      </c>
      <c r="W1" s="4" t="s">
        <v>1231</v>
      </c>
      <c r="X1" s="4" t="s">
        <v>1232</v>
      </c>
      <c r="Y1" s="4" t="s">
        <v>1233</v>
      </c>
      <c r="Z1" s="4" t="s">
        <v>1234</v>
      </c>
      <c r="AA1" s="4" t="s">
        <v>1235</v>
      </c>
      <c r="AB1" s="4" t="s">
        <v>1236</v>
      </c>
      <c r="AC1" s="4" t="s">
        <v>1237</v>
      </c>
      <c r="AD1" s="4" t="s">
        <v>1238</v>
      </c>
    </row>
    <row r="2" customFormat="false" ht="15" hidden="false" customHeight="false" outlineLevel="0" collapsed="false">
      <c r="A2" s="38" t="s">
        <v>1213</v>
      </c>
      <c r="B2" s="8" t="s">
        <v>1239</v>
      </c>
      <c r="C2" s="39" t="n">
        <v>206000</v>
      </c>
      <c r="D2" s="40" t="n">
        <v>45603</v>
      </c>
      <c r="E2" s="8" t="n">
        <v>18</v>
      </c>
      <c r="F2" s="39" t="n">
        <v>9000000</v>
      </c>
      <c r="G2" s="39" t="n">
        <v>105500</v>
      </c>
      <c r="H2" s="39" t="n">
        <v>2676</v>
      </c>
      <c r="I2" s="39" t="n">
        <v>45200</v>
      </c>
      <c r="J2" s="39" t="n">
        <v>25886</v>
      </c>
      <c r="K2" s="8" t="s">
        <v>1240</v>
      </c>
      <c r="L2" s="41" t="s">
        <v>1241</v>
      </c>
      <c r="M2" s="42" t="n">
        <f aca="false">IFERROR(I2/F2,0)</f>
        <v>0.00502222222222222</v>
      </c>
      <c r="N2" s="42" t="n">
        <f aca="false">IFERROR(J2/F2,0)</f>
        <v>0.00287622222222222</v>
      </c>
      <c r="O2" s="8" t="n">
        <v>0</v>
      </c>
      <c r="P2" s="8" t="n">
        <v>0</v>
      </c>
      <c r="Q2" s="8" t="n">
        <v>0</v>
      </c>
      <c r="R2" s="8" t="n">
        <v>0</v>
      </c>
      <c r="S2" s="8" t="n">
        <v>0</v>
      </c>
      <c r="T2" s="8" t="n">
        <v>1</v>
      </c>
      <c r="U2" s="8" t="n">
        <v>0</v>
      </c>
      <c r="V2" s="8" t="n">
        <v>0</v>
      </c>
      <c r="W2" s="8" t="n">
        <v>0</v>
      </c>
      <c r="X2" s="8" t="n">
        <v>1</v>
      </c>
      <c r="Y2" s="8" t="n">
        <v>0</v>
      </c>
      <c r="Z2" s="8" t="n">
        <v>0</v>
      </c>
      <c r="AA2" s="8" t="n">
        <v>0</v>
      </c>
      <c r="AB2" s="8" t="n">
        <v>0</v>
      </c>
      <c r="AC2" s="8" t="n">
        <v>0</v>
      </c>
      <c r="AD2" s="8" t="n">
        <v>0</v>
      </c>
    </row>
    <row r="3" customFormat="false" ht="15" hidden="false" customHeight="false" outlineLevel="0" collapsed="false">
      <c r="A3" s="38" t="s">
        <v>1199</v>
      </c>
      <c r="B3" s="8" t="s">
        <v>1242</v>
      </c>
      <c r="C3" s="39" t="n">
        <v>602200</v>
      </c>
      <c r="D3" s="40" t="n">
        <v>44635</v>
      </c>
      <c r="E3" s="8" t="n">
        <v>7</v>
      </c>
      <c r="F3" s="39" t="n">
        <v>8300000</v>
      </c>
      <c r="G3" s="39" t="n">
        <v>89600</v>
      </c>
      <c r="H3" s="39" t="n">
        <v>764</v>
      </c>
      <c r="I3" s="39" t="n">
        <v>11200</v>
      </c>
      <c r="J3" s="39" t="n">
        <v>4841</v>
      </c>
      <c r="K3" s="8" t="s">
        <v>1243</v>
      </c>
      <c r="L3" s="41" t="s">
        <v>1244</v>
      </c>
      <c r="M3" s="42" t="n">
        <f aca="false">IFERROR(I3/F3,0)</f>
        <v>0.00134939759036145</v>
      </c>
      <c r="N3" s="42" t="n">
        <f aca="false">IFERROR(J3/F3,0)</f>
        <v>0.000583253012048193</v>
      </c>
      <c r="O3" s="8" t="n">
        <v>1</v>
      </c>
      <c r="P3" s="8" t="n">
        <v>1</v>
      </c>
      <c r="Q3" s="8" t="n">
        <v>0</v>
      </c>
      <c r="R3" s="8" t="n">
        <v>1</v>
      </c>
      <c r="S3" s="8" t="n">
        <v>0</v>
      </c>
      <c r="T3" s="8" t="n">
        <v>0</v>
      </c>
      <c r="U3" s="8" t="n">
        <v>0</v>
      </c>
      <c r="V3" s="8" t="n">
        <v>0</v>
      </c>
      <c r="W3" s="8" t="n">
        <v>0</v>
      </c>
      <c r="X3" s="8" t="n">
        <v>0</v>
      </c>
      <c r="Y3" s="8" t="n">
        <v>0</v>
      </c>
      <c r="Z3" s="8" t="n">
        <v>0</v>
      </c>
      <c r="AA3" s="8" t="n">
        <v>0</v>
      </c>
      <c r="AB3" s="8" t="n">
        <v>0</v>
      </c>
      <c r="AC3" s="8" t="n">
        <v>0</v>
      </c>
      <c r="AD3" s="8" t="n">
        <v>1</v>
      </c>
    </row>
    <row r="4" customFormat="false" ht="15" hidden="false" customHeight="false" outlineLevel="0" collapsed="false">
      <c r="A4" s="38" t="s">
        <v>1200</v>
      </c>
      <c r="B4" s="8" t="s">
        <v>1242</v>
      </c>
      <c r="C4" s="39" t="n">
        <v>602200</v>
      </c>
      <c r="D4" s="40" t="n">
        <v>45208</v>
      </c>
      <c r="E4" s="8" t="n">
        <v>11</v>
      </c>
      <c r="F4" s="39" t="n">
        <v>5900000</v>
      </c>
      <c r="G4" s="39" t="n">
        <v>126000</v>
      </c>
      <c r="H4" s="39" t="n">
        <v>919</v>
      </c>
      <c r="I4" s="39" t="n">
        <v>14800</v>
      </c>
      <c r="J4" s="39" t="n">
        <v>19442</v>
      </c>
      <c r="K4" s="8" t="s">
        <v>1243</v>
      </c>
      <c r="L4" s="41" t="s">
        <v>1245</v>
      </c>
      <c r="M4" s="42" t="n">
        <f aca="false">IFERROR(I4/F4,0)</f>
        <v>0.00250847457627119</v>
      </c>
      <c r="N4" s="42" t="n">
        <f aca="false">IFERROR(J4/F4,0)</f>
        <v>0.00329525423728814</v>
      </c>
      <c r="O4" s="8" t="n">
        <v>1</v>
      </c>
      <c r="P4" s="8" t="n">
        <v>1</v>
      </c>
      <c r="Q4" s="8" t="n">
        <v>0</v>
      </c>
      <c r="R4" s="8" t="n">
        <v>1</v>
      </c>
      <c r="S4" s="8" t="n">
        <v>0</v>
      </c>
      <c r="T4" s="8" t="n">
        <v>0</v>
      </c>
      <c r="U4" s="8" t="n">
        <v>0</v>
      </c>
      <c r="V4" s="8" t="n">
        <v>0</v>
      </c>
      <c r="W4" s="8" t="n">
        <v>0</v>
      </c>
      <c r="X4" s="8" t="n">
        <v>0</v>
      </c>
      <c r="Y4" s="8" t="n">
        <v>0</v>
      </c>
      <c r="Z4" s="8" t="n">
        <v>0</v>
      </c>
      <c r="AA4" s="8" t="n">
        <v>0</v>
      </c>
      <c r="AB4" s="8" t="n">
        <v>0</v>
      </c>
      <c r="AC4" s="8" t="n">
        <v>0</v>
      </c>
      <c r="AD4" s="8" t="n">
        <v>1</v>
      </c>
    </row>
    <row r="5" customFormat="false" ht="15" hidden="false" customHeight="false" outlineLevel="0" collapsed="false">
      <c r="A5" s="38" t="s">
        <v>1214</v>
      </c>
      <c r="B5" s="8" t="s">
        <v>1246</v>
      </c>
      <c r="C5" s="39" t="n">
        <v>16400</v>
      </c>
      <c r="D5" s="40" t="n">
        <v>45748</v>
      </c>
      <c r="E5" s="8" t="n">
        <v>11</v>
      </c>
      <c r="F5" s="39" t="n">
        <v>3200000</v>
      </c>
      <c r="G5" s="39" t="n">
        <v>98800</v>
      </c>
      <c r="H5" s="39" t="n">
        <v>1495</v>
      </c>
      <c r="I5" s="39" t="n">
        <v>16700</v>
      </c>
      <c r="J5" s="39" t="n">
        <v>10558</v>
      </c>
      <c r="K5" s="8" t="s">
        <v>1240</v>
      </c>
      <c r="L5" s="41" t="s">
        <v>1247</v>
      </c>
      <c r="M5" s="42" t="n">
        <f aca="false">IFERROR(I5/F5,0)</f>
        <v>0.00521875</v>
      </c>
      <c r="N5" s="42" t="n">
        <f aca="false">IFERROR(J5/F5,0)</f>
        <v>0.003299375</v>
      </c>
      <c r="O5" s="8" t="n">
        <v>0</v>
      </c>
      <c r="P5" s="8" t="n">
        <v>0</v>
      </c>
      <c r="Q5" s="8" t="n">
        <v>0</v>
      </c>
      <c r="R5" s="8" t="n">
        <v>0</v>
      </c>
      <c r="S5" s="8" t="n">
        <v>0</v>
      </c>
      <c r="T5" s="8" t="n">
        <v>0</v>
      </c>
      <c r="U5" s="8" t="n">
        <v>0</v>
      </c>
      <c r="V5" s="8" t="n">
        <v>0</v>
      </c>
      <c r="W5" s="8" t="n">
        <v>1</v>
      </c>
      <c r="X5" s="8" t="n">
        <v>1</v>
      </c>
      <c r="Y5" s="8" t="n">
        <v>0</v>
      </c>
      <c r="Z5" s="8" t="n">
        <v>0</v>
      </c>
      <c r="AA5" s="8" t="n">
        <v>0</v>
      </c>
      <c r="AB5" s="8" t="n">
        <v>0</v>
      </c>
      <c r="AC5" s="8" t="n">
        <v>0</v>
      </c>
      <c r="AD5" s="8" t="n">
        <v>0</v>
      </c>
    </row>
    <row r="6" customFormat="false" ht="15" hidden="false" customHeight="false" outlineLevel="0" collapsed="false">
      <c r="A6" s="38" t="s">
        <v>1215</v>
      </c>
      <c r="B6" s="8" t="s">
        <v>1248</v>
      </c>
      <c r="C6" s="39" t="n">
        <v>208900</v>
      </c>
      <c r="D6" s="40" t="n">
        <v>45369</v>
      </c>
      <c r="E6" s="8" t="n">
        <v>14</v>
      </c>
      <c r="F6" s="39" t="n">
        <v>3000000</v>
      </c>
      <c r="G6" s="39" t="n">
        <v>41600</v>
      </c>
      <c r="H6" s="39" t="n">
        <v>566</v>
      </c>
      <c r="I6" s="39" t="n">
        <v>23500</v>
      </c>
      <c r="J6" s="39" t="n">
        <v>11527</v>
      </c>
      <c r="K6" s="8" t="s">
        <v>1240</v>
      </c>
      <c r="L6" s="41" t="s">
        <v>1249</v>
      </c>
      <c r="M6" s="42" t="n">
        <f aca="false">IFERROR(I6/F6,0)</f>
        <v>0.00783333333333333</v>
      </c>
      <c r="N6" s="42" t="n">
        <f aca="false">IFERROR(J6/F6,0)</f>
        <v>0.00384233333333333</v>
      </c>
      <c r="O6" s="8" t="n">
        <v>0</v>
      </c>
      <c r="P6" s="8" t="n">
        <v>0</v>
      </c>
      <c r="Q6" s="8" t="n">
        <v>0</v>
      </c>
      <c r="R6" s="8" t="n">
        <v>0</v>
      </c>
      <c r="S6" s="8" t="n">
        <v>0</v>
      </c>
      <c r="T6" s="8" t="n">
        <v>1</v>
      </c>
      <c r="U6" s="8" t="n">
        <v>0</v>
      </c>
      <c r="V6" s="8" t="n">
        <v>0</v>
      </c>
      <c r="W6" s="8" t="n">
        <v>0</v>
      </c>
      <c r="X6" s="8" t="n">
        <v>1</v>
      </c>
      <c r="Y6" s="8" t="n">
        <v>0</v>
      </c>
      <c r="Z6" s="8" t="n">
        <v>0</v>
      </c>
      <c r="AA6" s="8" t="n">
        <v>0</v>
      </c>
      <c r="AB6" s="8" t="n">
        <v>0</v>
      </c>
      <c r="AC6" s="8" t="n">
        <v>0</v>
      </c>
      <c r="AD6" s="8" t="n">
        <v>0</v>
      </c>
    </row>
    <row r="7" customFormat="false" ht="15" hidden="false" customHeight="false" outlineLevel="0" collapsed="false">
      <c r="A7" s="38" t="s">
        <v>1216</v>
      </c>
      <c r="B7" s="8" t="s">
        <v>1248</v>
      </c>
      <c r="C7" s="39" t="n">
        <v>208900</v>
      </c>
      <c r="D7" s="40" t="n">
        <v>45404</v>
      </c>
      <c r="E7" s="8" t="n">
        <v>14</v>
      </c>
      <c r="F7" s="39" t="n">
        <v>3000000</v>
      </c>
      <c r="G7" s="39" t="n">
        <v>45100</v>
      </c>
      <c r="H7" s="39" t="n">
        <v>455</v>
      </c>
      <c r="I7" s="39" t="n">
        <v>30500</v>
      </c>
      <c r="J7" s="39" t="n">
        <v>11657</v>
      </c>
      <c r="K7" s="8" t="s">
        <v>1240</v>
      </c>
      <c r="L7" s="41" t="s">
        <v>1250</v>
      </c>
      <c r="M7" s="42" t="n">
        <f aca="false">IFERROR(I7/F7,0)</f>
        <v>0.0101666666666667</v>
      </c>
      <c r="N7" s="42" t="n">
        <f aca="false">IFERROR(J7/F7,0)</f>
        <v>0.00388566666666667</v>
      </c>
      <c r="O7" s="8" t="n">
        <v>0</v>
      </c>
      <c r="P7" s="8" t="n">
        <v>0</v>
      </c>
      <c r="Q7" s="8" t="n">
        <v>0</v>
      </c>
      <c r="R7" s="8" t="n">
        <v>0</v>
      </c>
      <c r="S7" s="8" t="n">
        <v>0</v>
      </c>
      <c r="T7" s="8" t="n">
        <v>1</v>
      </c>
      <c r="U7" s="8" t="n">
        <v>0</v>
      </c>
      <c r="V7" s="8" t="n">
        <v>0</v>
      </c>
      <c r="W7" s="8" t="n">
        <v>0</v>
      </c>
      <c r="X7" s="8" t="n">
        <v>1</v>
      </c>
      <c r="Y7" s="8" t="n">
        <v>0</v>
      </c>
      <c r="Z7" s="8" t="n">
        <v>0</v>
      </c>
      <c r="AA7" s="8" t="n">
        <v>0</v>
      </c>
      <c r="AB7" s="8" t="n">
        <v>0</v>
      </c>
      <c r="AC7" s="8" t="n">
        <v>0</v>
      </c>
      <c r="AD7" s="8" t="n">
        <v>0</v>
      </c>
    </row>
    <row r="8" customFormat="false" ht="15" hidden="false" customHeight="false" outlineLevel="0" collapsed="false">
      <c r="A8" s="38" t="s">
        <v>1218</v>
      </c>
      <c r="B8" s="8" t="s">
        <v>1251</v>
      </c>
      <c r="C8" s="39" t="n">
        <v>171800</v>
      </c>
      <c r="D8" s="40" t="n">
        <v>46187</v>
      </c>
      <c r="E8" s="8" t="n">
        <v>50</v>
      </c>
      <c r="F8" s="39" t="n">
        <v>2500000</v>
      </c>
      <c r="G8" s="39" t="n">
        <v>1784</v>
      </c>
      <c r="H8" s="39" t="n">
        <v>28</v>
      </c>
      <c r="I8" s="39" t="n">
        <v>237</v>
      </c>
      <c r="J8" s="39" t="n">
        <v>757</v>
      </c>
      <c r="K8" s="8" t="s">
        <v>1240</v>
      </c>
      <c r="L8" s="41" t="s">
        <v>1252</v>
      </c>
      <c r="M8" s="42" t="n">
        <f aca="false">IFERROR(I8/F8,0)</f>
        <v>9.48E-005</v>
      </c>
      <c r="N8" s="42" t="n">
        <f aca="false">IFERROR(J8/F8,0)</f>
        <v>0.0003028</v>
      </c>
      <c r="O8" s="8" t="n">
        <v>0</v>
      </c>
      <c r="P8" s="8" t="n">
        <v>0</v>
      </c>
      <c r="Q8" s="8" t="n">
        <v>0</v>
      </c>
      <c r="R8" s="8" t="n">
        <v>1</v>
      </c>
      <c r="S8" s="8" t="n">
        <v>0</v>
      </c>
      <c r="T8" s="8" t="n">
        <v>1</v>
      </c>
      <c r="U8" s="8" t="n">
        <v>0</v>
      </c>
      <c r="V8" s="8" t="n">
        <v>0</v>
      </c>
      <c r="W8" s="8" t="n">
        <v>0</v>
      </c>
      <c r="X8" s="8" t="n">
        <v>1</v>
      </c>
      <c r="Y8" s="8" t="n">
        <v>0</v>
      </c>
      <c r="Z8" s="8" t="n">
        <v>0</v>
      </c>
      <c r="AA8" s="8" t="n">
        <v>0</v>
      </c>
      <c r="AB8" s="8" t="n">
        <v>0</v>
      </c>
      <c r="AC8" s="8" t="n">
        <v>0</v>
      </c>
      <c r="AD8" s="8" t="n">
        <v>0</v>
      </c>
    </row>
    <row r="9" customFormat="false" ht="15" hidden="false" customHeight="false" outlineLevel="0" collapsed="false">
      <c r="A9" s="38" t="s">
        <v>1219</v>
      </c>
      <c r="B9" s="8" t="s">
        <v>1239</v>
      </c>
      <c r="C9" s="39" t="n">
        <v>206000</v>
      </c>
      <c r="D9" s="40" t="n">
        <v>45610</v>
      </c>
      <c r="E9" s="8" t="n">
        <v>12</v>
      </c>
      <c r="F9" s="39" t="n">
        <v>2500000</v>
      </c>
      <c r="G9" s="39" t="n">
        <v>35000</v>
      </c>
      <c r="H9" s="39" t="n">
        <v>1306</v>
      </c>
      <c r="I9" s="39" t="n">
        <v>10600</v>
      </c>
      <c r="J9" s="39" t="n">
        <v>7170</v>
      </c>
      <c r="K9" s="8" t="s">
        <v>1240</v>
      </c>
      <c r="L9" s="41" t="s">
        <v>1253</v>
      </c>
      <c r="M9" s="42" t="n">
        <f aca="false">IFERROR(I9/F9,0)</f>
        <v>0.00424</v>
      </c>
      <c r="N9" s="42" t="n">
        <f aca="false">IFERROR(J9/F9,0)</f>
        <v>0.002868</v>
      </c>
      <c r="O9" s="8" t="n">
        <v>0</v>
      </c>
      <c r="P9" s="8" t="n">
        <v>0</v>
      </c>
      <c r="Q9" s="8" t="n">
        <v>0</v>
      </c>
      <c r="R9" s="8" t="n">
        <v>0</v>
      </c>
      <c r="S9" s="8" t="n">
        <v>0</v>
      </c>
      <c r="T9" s="8" t="n">
        <v>1</v>
      </c>
      <c r="U9" s="8" t="n">
        <v>0</v>
      </c>
      <c r="V9" s="8" t="n">
        <v>0</v>
      </c>
      <c r="W9" s="8" t="n">
        <v>0</v>
      </c>
      <c r="X9" s="8" t="n">
        <v>1</v>
      </c>
      <c r="Y9" s="8" t="n">
        <v>0</v>
      </c>
      <c r="Z9" s="8" t="n">
        <v>0</v>
      </c>
      <c r="AA9" s="8" t="n">
        <v>0</v>
      </c>
      <c r="AB9" s="8" t="n">
        <v>0</v>
      </c>
      <c r="AC9" s="8" t="n">
        <v>0</v>
      </c>
      <c r="AD9" s="8" t="n">
        <v>0</v>
      </c>
    </row>
    <row r="10" customFormat="false" ht="15" hidden="false" customHeight="false" outlineLevel="0" collapsed="false">
      <c r="A10" s="38" t="s">
        <v>1254</v>
      </c>
      <c r="B10" s="8" t="s">
        <v>1239</v>
      </c>
      <c r="C10" s="39" t="n">
        <v>206000</v>
      </c>
      <c r="D10" s="40" t="n">
        <v>45663</v>
      </c>
      <c r="E10" s="8" t="n">
        <v>15</v>
      </c>
      <c r="F10" s="39" t="n">
        <v>2000000</v>
      </c>
      <c r="G10" s="39" t="n">
        <v>27500</v>
      </c>
      <c r="H10" s="39" t="n">
        <v>407</v>
      </c>
      <c r="I10" s="39" t="n">
        <v>12900</v>
      </c>
      <c r="J10" s="39" t="n">
        <v>15169</v>
      </c>
      <c r="K10" s="8" t="s">
        <v>1240</v>
      </c>
      <c r="L10" s="41" t="s">
        <v>1255</v>
      </c>
      <c r="M10" s="42" t="n">
        <f aca="false">IFERROR(I10/F10,0)</f>
        <v>0.00645</v>
      </c>
      <c r="N10" s="42" t="n">
        <f aca="false">IFERROR(J10/F10,0)</f>
        <v>0.0075845</v>
      </c>
      <c r="O10" s="8" t="n">
        <v>0</v>
      </c>
      <c r="P10" s="8" t="n">
        <v>0</v>
      </c>
      <c r="Q10" s="8" t="n">
        <v>0</v>
      </c>
      <c r="R10" s="8" t="n">
        <v>0</v>
      </c>
      <c r="S10" s="8" t="n">
        <v>0</v>
      </c>
      <c r="T10" s="8" t="n">
        <v>1</v>
      </c>
      <c r="U10" s="8" t="n">
        <v>0</v>
      </c>
      <c r="V10" s="8" t="n">
        <v>0</v>
      </c>
      <c r="W10" s="8" t="n">
        <v>0</v>
      </c>
      <c r="X10" s="8" t="n">
        <v>1</v>
      </c>
      <c r="Y10" s="8" t="n">
        <v>0</v>
      </c>
      <c r="Z10" s="8" t="n">
        <v>0</v>
      </c>
      <c r="AA10" s="8" t="n">
        <v>0</v>
      </c>
      <c r="AB10" s="8" t="n">
        <v>0</v>
      </c>
      <c r="AC10" s="8" t="n">
        <v>0</v>
      </c>
      <c r="AD10" s="8" t="n">
        <v>0</v>
      </c>
    </row>
    <row r="11" customFormat="false" ht="15" hidden="false" customHeight="false" outlineLevel="0" collapsed="false">
      <c r="A11" s="38" t="s">
        <v>1201</v>
      </c>
      <c r="B11" s="8" t="s">
        <v>1242</v>
      </c>
      <c r="C11" s="39" t="n">
        <v>602300</v>
      </c>
      <c r="D11" s="40" t="n">
        <v>46025</v>
      </c>
      <c r="E11" s="8" t="n">
        <v>5</v>
      </c>
      <c r="F11" s="39" t="n">
        <v>1800000</v>
      </c>
      <c r="G11" s="39" t="n">
        <v>12600</v>
      </c>
      <c r="H11" s="39" t="n">
        <v>90</v>
      </c>
      <c r="I11" s="39" t="n">
        <v>7527</v>
      </c>
      <c r="J11" s="39" t="n">
        <v>5283</v>
      </c>
      <c r="K11" s="8" t="s">
        <v>1243</v>
      </c>
      <c r="L11" s="41" t="s">
        <v>1256</v>
      </c>
      <c r="M11" s="42" t="n">
        <f aca="false">IFERROR(I11/F11,0)</f>
        <v>0.00418166666666667</v>
      </c>
      <c r="N11" s="42" t="n">
        <f aca="false">IFERROR(J11/F11,0)</f>
        <v>0.002935</v>
      </c>
      <c r="O11" s="8" t="n">
        <v>0</v>
      </c>
      <c r="P11" s="8" t="n">
        <v>1</v>
      </c>
      <c r="Q11" s="8" t="n">
        <v>0</v>
      </c>
      <c r="R11" s="8" t="n">
        <v>1</v>
      </c>
      <c r="S11" s="8" t="n">
        <v>0</v>
      </c>
      <c r="T11" s="8" t="n">
        <v>0</v>
      </c>
      <c r="U11" s="8" t="n">
        <v>0</v>
      </c>
      <c r="V11" s="8" t="n">
        <v>0</v>
      </c>
      <c r="W11" s="8" t="n">
        <v>0</v>
      </c>
      <c r="X11" s="8" t="n">
        <v>0</v>
      </c>
      <c r="Y11" s="8" t="n">
        <v>0</v>
      </c>
      <c r="Z11" s="8" t="n">
        <v>0</v>
      </c>
      <c r="AA11" s="8" t="n">
        <v>0</v>
      </c>
      <c r="AB11" s="8" t="n">
        <v>0</v>
      </c>
      <c r="AC11" s="8" t="n">
        <v>0</v>
      </c>
      <c r="AD11" s="8" t="n">
        <v>1</v>
      </c>
    </row>
    <row r="12" customFormat="false" ht="15" hidden="false" customHeight="false" outlineLevel="0" collapsed="false">
      <c r="A12" s="38" t="s">
        <v>1257</v>
      </c>
      <c r="B12" s="8" t="s">
        <v>1258</v>
      </c>
      <c r="C12" s="39" t="n">
        <v>12100</v>
      </c>
      <c r="D12" s="40" t="n">
        <v>46256</v>
      </c>
      <c r="E12" s="8" t="n">
        <v>16</v>
      </c>
      <c r="F12" s="39" t="n">
        <v>1800000</v>
      </c>
      <c r="G12" s="39" t="n">
        <v>30900</v>
      </c>
      <c r="H12" s="39" t="n">
        <v>191</v>
      </c>
      <c r="I12" s="39" t="n">
        <v>8461</v>
      </c>
      <c r="J12" s="39" t="n">
        <v>9882</v>
      </c>
      <c r="K12" s="8" t="s">
        <v>1240</v>
      </c>
      <c r="L12" s="41" t="s">
        <v>1259</v>
      </c>
      <c r="M12" s="42" t="n">
        <f aca="false">IFERROR(I12/F12,0)</f>
        <v>0.00470055555555556</v>
      </c>
      <c r="N12" s="42" t="n">
        <f aca="false">IFERROR(J12/F12,0)</f>
        <v>0.00549</v>
      </c>
      <c r="O12" s="8" t="n">
        <v>0</v>
      </c>
      <c r="P12" s="8" t="n">
        <v>0</v>
      </c>
      <c r="Q12" s="8" t="n">
        <v>0</v>
      </c>
      <c r="R12" s="8" t="n">
        <v>0</v>
      </c>
      <c r="S12" s="8" t="n">
        <v>0</v>
      </c>
      <c r="T12" s="8" t="n">
        <v>1</v>
      </c>
      <c r="U12" s="8" t="n">
        <v>0</v>
      </c>
      <c r="V12" s="8" t="n">
        <v>0</v>
      </c>
      <c r="W12" s="8" t="n">
        <v>0</v>
      </c>
      <c r="X12" s="8" t="n">
        <v>1</v>
      </c>
      <c r="Y12" s="8" t="n">
        <v>0</v>
      </c>
      <c r="Z12" s="8" t="n">
        <v>0</v>
      </c>
      <c r="AA12" s="8" t="n">
        <v>0</v>
      </c>
      <c r="AB12" s="8" t="n">
        <v>0</v>
      </c>
      <c r="AC12" s="8" t="n">
        <v>0</v>
      </c>
      <c r="AD12" s="8" t="n">
        <v>0</v>
      </c>
    </row>
    <row r="13" customFormat="false" ht="15" hidden="false" customHeight="false" outlineLevel="0" collapsed="false">
      <c r="A13" s="38" t="s">
        <v>1202</v>
      </c>
      <c r="B13" s="8" t="s">
        <v>1260</v>
      </c>
      <c r="C13" s="39" t="n">
        <v>18100</v>
      </c>
      <c r="D13" s="40" t="n">
        <v>45305</v>
      </c>
      <c r="E13" s="8" t="n">
        <v>51</v>
      </c>
      <c r="F13" s="39" t="n">
        <v>1700000</v>
      </c>
      <c r="G13" s="39" t="n">
        <v>17100</v>
      </c>
      <c r="H13" s="39" t="n">
        <v>409</v>
      </c>
      <c r="I13" s="39" t="n">
        <v>6699</v>
      </c>
      <c r="J13" s="39" t="n">
        <v>2577</v>
      </c>
      <c r="K13" s="8" t="s">
        <v>1243</v>
      </c>
      <c r="L13" s="41" t="s">
        <v>1261</v>
      </c>
      <c r="M13" s="42" t="n">
        <f aca="false">IFERROR(I13/F13,0)</f>
        <v>0.00394058823529412</v>
      </c>
      <c r="N13" s="42" t="n">
        <f aca="false">IFERROR(J13/F13,0)</f>
        <v>0.00151588235294118</v>
      </c>
      <c r="O13" s="8" t="n">
        <v>1</v>
      </c>
      <c r="P13" s="8" t="n">
        <v>1</v>
      </c>
      <c r="Q13" s="8" t="n">
        <v>0</v>
      </c>
      <c r="R13" s="8" t="n">
        <v>1</v>
      </c>
      <c r="S13" s="8" t="n">
        <v>0</v>
      </c>
      <c r="T13" s="8" t="n">
        <v>0</v>
      </c>
      <c r="U13" s="8" t="n">
        <v>0</v>
      </c>
      <c r="V13" s="8" t="n">
        <v>0</v>
      </c>
      <c r="W13" s="8" t="n">
        <v>0</v>
      </c>
      <c r="X13" s="8" t="n">
        <v>0</v>
      </c>
      <c r="Y13" s="8" t="n">
        <v>0</v>
      </c>
      <c r="Z13" s="8" t="n">
        <v>0</v>
      </c>
      <c r="AA13" s="8" t="n">
        <v>0</v>
      </c>
      <c r="AB13" s="8" t="n">
        <v>0</v>
      </c>
      <c r="AC13" s="8" t="n">
        <v>0</v>
      </c>
      <c r="AD13" s="8" t="n">
        <v>0</v>
      </c>
    </row>
    <row r="14" customFormat="false" ht="15" hidden="false" customHeight="false" outlineLevel="0" collapsed="false">
      <c r="A14" s="38" t="s">
        <v>1203</v>
      </c>
      <c r="B14" s="8" t="s">
        <v>1242</v>
      </c>
      <c r="C14" s="39" t="n">
        <v>602200</v>
      </c>
      <c r="D14" s="40" t="n">
        <v>45891</v>
      </c>
      <c r="E14" s="8" t="n">
        <v>18</v>
      </c>
      <c r="F14" s="39" t="n">
        <v>1300000</v>
      </c>
      <c r="G14" s="39" t="n">
        <v>15900</v>
      </c>
      <c r="H14" s="39" t="n">
        <v>171</v>
      </c>
      <c r="I14" s="39" t="n">
        <v>5658</v>
      </c>
      <c r="J14" s="39" t="n">
        <v>3559</v>
      </c>
      <c r="K14" s="8" t="s">
        <v>1243</v>
      </c>
      <c r="L14" s="41" t="s">
        <v>1262</v>
      </c>
      <c r="M14" s="42" t="n">
        <f aca="false">IFERROR(I14/F14,0)</f>
        <v>0.00435230769230769</v>
      </c>
      <c r="N14" s="42" t="n">
        <f aca="false">IFERROR(J14/F14,0)</f>
        <v>0.00273769230769231</v>
      </c>
      <c r="O14" s="8" t="n">
        <v>1</v>
      </c>
      <c r="P14" s="8" t="n">
        <v>1</v>
      </c>
      <c r="Q14" s="8" t="n">
        <v>0</v>
      </c>
      <c r="R14" s="8" t="n">
        <v>1</v>
      </c>
      <c r="S14" s="8" t="n">
        <v>0</v>
      </c>
      <c r="T14" s="8" t="n">
        <v>0</v>
      </c>
      <c r="U14" s="8" t="n">
        <v>0</v>
      </c>
      <c r="V14" s="8" t="n">
        <v>0</v>
      </c>
      <c r="W14" s="8" t="n">
        <v>0</v>
      </c>
      <c r="X14" s="8" t="n">
        <v>0</v>
      </c>
      <c r="Y14" s="8" t="n">
        <v>0</v>
      </c>
      <c r="Z14" s="8" t="n">
        <v>0</v>
      </c>
      <c r="AA14" s="8" t="n">
        <v>0</v>
      </c>
      <c r="AB14" s="8" t="n">
        <v>0</v>
      </c>
      <c r="AC14" s="8" t="n">
        <v>0</v>
      </c>
      <c r="AD14" s="8" t="n">
        <v>1</v>
      </c>
    </row>
    <row r="15" customFormat="false" ht="15" hidden="false" customHeight="false" outlineLevel="0" collapsed="false">
      <c r="A15" s="38" t="s">
        <v>1205</v>
      </c>
      <c r="B15" s="8" t="s">
        <v>1263</v>
      </c>
      <c r="C15" s="39" t="n">
        <v>46900</v>
      </c>
      <c r="D15" s="40" t="n">
        <v>45349</v>
      </c>
      <c r="E15" s="8" t="n">
        <v>66</v>
      </c>
      <c r="F15" s="39" t="n">
        <v>1100000</v>
      </c>
      <c r="G15" s="39" t="n">
        <v>19900</v>
      </c>
      <c r="H15" s="39" t="n">
        <v>162</v>
      </c>
      <c r="I15" s="39" t="n">
        <v>2341</v>
      </c>
      <c r="J15" s="39" t="n">
        <v>2599</v>
      </c>
      <c r="K15" s="8" t="s">
        <v>1243</v>
      </c>
      <c r="L15" s="41" t="s">
        <v>1264</v>
      </c>
      <c r="M15" s="42" t="n">
        <f aca="false">IFERROR(I15/F15,0)</f>
        <v>0.00212818181818182</v>
      </c>
      <c r="N15" s="42" t="n">
        <f aca="false">IFERROR(J15/F15,0)</f>
        <v>0.00236272727272727</v>
      </c>
      <c r="O15" s="8" t="n">
        <v>0</v>
      </c>
      <c r="P15" s="8" t="n">
        <v>1</v>
      </c>
      <c r="Q15" s="8" t="n">
        <v>0</v>
      </c>
      <c r="R15" s="8" t="n">
        <v>0</v>
      </c>
      <c r="S15" s="8" t="n">
        <v>0</v>
      </c>
      <c r="T15" s="8" t="n">
        <v>0</v>
      </c>
      <c r="U15" s="8" t="n">
        <v>0</v>
      </c>
      <c r="V15" s="8" t="n">
        <v>0</v>
      </c>
      <c r="W15" s="8" t="n">
        <v>0</v>
      </c>
      <c r="X15" s="8" t="n">
        <v>0</v>
      </c>
      <c r="Y15" s="8" t="n">
        <v>0</v>
      </c>
      <c r="Z15" s="8" t="n">
        <v>0</v>
      </c>
      <c r="AA15" s="8" t="n">
        <v>0</v>
      </c>
      <c r="AB15" s="8" t="n">
        <v>0</v>
      </c>
      <c r="AC15" s="8" t="n">
        <v>0</v>
      </c>
      <c r="AD15" s="8" t="n">
        <v>0</v>
      </c>
    </row>
    <row r="16" customFormat="false" ht="15" hidden="false" customHeight="false" outlineLevel="0" collapsed="false">
      <c r="A16" s="38" t="s">
        <v>1265</v>
      </c>
      <c r="B16" s="8" t="s">
        <v>1266</v>
      </c>
      <c r="C16" s="39" t="n">
        <v>9463</v>
      </c>
      <c r="D16" s="40" t="n">
        <v>45411</v>
      </c>
      <c r="E16" s="8" t="n">
        <v>24</v>
      </c>
      <c r="F16" s="39" t="n">
        <v>855400</v>
      </c>
      <c r="G16" s="39" t="n">
        <v>10500</v>
      </c>
      <c r="H16" s="39" t="n">
        <v>207</v>
      </c>
      <c r="I16" s="39" t="n">
        <v>3097</v>
      </c>
      <c r="J16" s="39" t="n">
        <v>2360</v>
      </c>
      <c r="K16" s="8" t="s">
        <v>1240</v>
      </c>
      <c r="L16" s="41" t="s">
        <v>1267</v>
      </c>
      <c r="M16" s="42" t="n">
        <f aca="false">IFERROR(I16/F16,0)</f>
        <v>0.00362052840776245</v>
      </c>
      <c r="N16" s="42" t="n">
        <f aca="false">IFERROR(J16/F16,0)</f>
        <v>0.0027589431844751</v>
      </c>
      <c r="O16" s="8" t="n">
        <v>1</v>
      </c>
      <c r="P16" s="8" t="n">
        <v>1</v>
      </c>
      <c r="Q16" s="8" t="n">
        <v>0</v>
      </c>
      <c r="R16" s="8" t="n">
        <v>0</v>
      </c>
      <c r="S16" s="8" t="n">
        <v>0</v>
      </c>
      <c r="T16" s="8" t="n">
        <v>0</v>
      </c>
      <c r="U16" s="8" t="n">
        <v>0</v>
      </c>
      <c r="V16" s="8" t="n">
        <v>0</v>
      </c>
      <c r="W16" s="8" t="n">
        <v>1</v>
      </c>
      <c r="X16" s="8" t="n">
        <v>0</v>
      </c>
      <c r="Y16" s="8" t="n">
        <v>0</v>
      </c>
      <c r="Z16" s="8" t="n">
        <v>0</v>
      </c>
      <c r="AA16" s="8" t="n">
        <v>0</v>
      </c>
      <c r="AB16" s="8" t="n">
        <v>0</v>
      </c>
      <c r="AC16" s="8" t="n">
        <v>0</v>
      </c>
      <c r="AD16" s="8" t="n">
        <v>0</v>
      </c>
    </row>
    <row r="17" customFormat="false" ht="15" hidden="false" customHeight="false" outlineLevel="0" collapsed="false">
      <c r="A17" s="38" t="s">
        <v>1268</v>
      </c>
      <c r="B17" s="8" t="s">
        <v>1269</v>
      </c>
      <c r="C17" s="39" t="n">
        <v>0</v>
      </c>
      <c r="D17" s="40" t="n">
        <v>46117</v>
      </c>
      <c r="E17" s="8" t="n">
        <v>39</v>
      </c>
      <c r="F17" s="39" t="n">
        <v>842000</v>
      </c>
      <c r="G17" s="39" t="n">
        <v>8359</v>
      </c>
      <c r="H17" s="39" t="n">
        <v>66</v>
      </c>
      <c r="I17" s="39" t="n">
        <v>384</v>
      </c>
      <c r="J17" s="39" t="n">
        <v>1500</v>
      </c>
      <c r="K17" s="8" t="s">
        <v>1240</v>
      </c>
      <c r="L17" s="41" t="s">
        <v>1270</v>
      </c>
      <c r="M17" s="42" t="n">
        <f aca="false">IFERROR(I17/F17,0)</f>
        <v>0.000456057007125891</v>
      </c>
      <c r="N17" s="42" t="n">
        <f aca="false">IFERROR(J17/F17,0)</f>
        <v>0.00178147268408551</v>
      </c>
      <c r="O17" s="8" t="n">
        <v>0</v>
      </c>
      <c r="P17" s="8" t="n">
        <v>0</v>
      </c>
      <c r="Q17" s="8" t="n">
        <v>0</v>
      </c>
      <c r="R17" s="8" t="n">
        <v>1</v>
      </c>
      <c r="S17" s="8" t="n">
        <v>0</v>
      </c>
      <c r="T17" s="8" t="n">
        <v>0</v>
      </c>
      <c r="U17" s="8" t="n">
        <v>0</v>
      </c>
      <c r="V17" s="8" t="n">
        <v>0</v>
      </c>
      <c r="W17" s="8" t="n">
        <v>0</v>
      </c>
      <c r="X17" s="8" t="n">
        <v>1</v>
      </c>
      <c r="Y17" s="8" t="n">
        <v>0</v>
      </c>
      <c r="Z17" s="8" t="n">
        <v>0</v>
      </c>
      <c r="AA17" s="8" t="n">
        <v>1</v>
      </c>
      <c r="AB17" s="8" t="n">
        <v>0</v>
      </c>
      <c r="AC17" s="8" t="n">
        <v>0</v>
      </c>
      <c r="AD17" s="8" t="n">
        <v>0</v>
      </c>
    </row>
    <row r="18" customFormat="false" ht="15" hidden="false" customHeight="false" outlineLevel="0" collapsed="false">
      <c r="A18" s="38" t="s">
        <v>1206</v>
      </c>
      <c r="B18" s="8" t="s">
        <v>1271</v>
      </c>
      <c r="C18" s="39" t="n">
        <v>74500</v>
      </c>
      <c r="D18" s="40" t="n">
        <v>46056</v>
      </c>
      <c r="E18" s="8" t="n">
        <v>23</v>
      </c>
      <c r="F18" s="39" t="n">
        <v>839000</v>
      </c>
      <c r="G18" s="39" t="n">
        <v>13800</v>
      </c>
      <c r="H18" s="39" t="n">
        <v>64</v>
      </c>
      <c r="I18" s="39" t="n">
        <v>5040</v>
      </c>
      <c r="J18" s="39" t="n">
        <v>4838</v>
      </c>
      <c r="K18" s="8" t="s">
        <v>1243</v>
      </c>
      <c r="L18" s="41" t="s">
        <v>1272</v>
      </c>
      <c r="M18" s="42" t="n">
        <f aca="false">IFERROR(I18/F18,0)</f>
        <v>0.00600715137067938</v>
      </c>
      <c r="N18" s="42" t="n">
        <f aca="false">IFERROR(J18/F18,0)</f>
        <v>0.00576638855780691</v>
      </c>
      <c r="O18" s="8" t="n">
        <v>0</v>
      </c>
      <c r="P18" s="8" t="n">
        <v>0</v>
      </c>
      <c r="Q18" s="8" t="n">
        <v>1</v>
      </c>
      <c r="R18" s="8" t="n">
        <v>0</v>
      </c>
      <c r="S18" s="8" t="n">
        <v>0</v>
      </c>
      <c r="T18" s="8" t="n">
        <v>0</v>
      </c>
      <c r="U18" s="8" t="n">
        <v>0</v>
      </c>
      <c r="V18" s="8" t="n">
        <v>0</v>
      </c>
      <c r="W18" s="8" t="n">
        <v>0</v>
      </c>
      <c r="X18" s="8" t="n">
        <v>1</v>
      </c>
      <c r="Y18" s="8" t="n">
        <v>0</v>
      </c>
      <c r="Z18" s="8" t="n">
        <v>1</v>
      </c>
      <c r="AA18" s="8" t="n">
        <v>0</v>
      </c>
      <c r="AB18" s="8" t="n">
        <v>0</v>
      </c>
      <c r="AC18" s="8" t="n">
        <v>0</v>
      </c>
      <c r="AD18" s="8" t="n">
        <v>0</v>
      </c>
    </row>
    <row r="19" customFormat="false" ht="15" hidden="false" customHeight="false" outlineLevel="0" collapsed="false">
      <c r="A19" s="38" t="s">
        <v>1273</v>
      </c>
      <c r="B19" s="8" t="s">
        <v>1274</v>
      </c>
      <c r="C19" s="39" t="n">
        <v>23900</v>
      </c>
      <c r="D19" s="40" t="n">
        <v>45808</v>
      </c>
      <c r="E19" s="8" t="n">
        <v>43</v>
      </c>
      <c r="F19" s="39" t="n">
        <v>781600</v>
      </c>
      <c r="G19" s="39" t="n">
        <v>15600</v>
      </c>
      <c r="H19" s="39" t="n">
        <v>218</v>
      </c>
      <c r="I19" s="39" t="n">
        <v>5579</v>
      </c>
      <c r="J19" s="39" t="n">
        <v>3613</v>
      </c>
      <c r="K19" s="8" t="s">
        <v>1240</v>
      </c>
      <c r="L19" s="41" t="s">
        <v>1275</v>
      </c>
      <c r="M19" s="42" t="n">
        <f aca="false">IFERROR(I19/F19,0)</f>
        <v>0.00713792221084954</v>
      </c>
      <c r="N19" s="42" t="n">
        <f aca="false">IFERROR(J19/F19,0)</f>
        <v>0.00462256908904811</v>
      </c>
      <c r="O19" s="8" t="n">
        <v>0</v>
      </c>
      <c r="P19" s="8" t="n">
        <v>1</v>
      </c>
      <c r="Q19" s="8" t="n">
        <v>0</v>
      </c>
      <c r="R19" s="8" t="n">
        <v>0</v>
      </c>
      <c r="S19" s="8" t="n">
        <v>0</v>
      </c>
      <c r="T19" s="8" t="n">
        <v>0</v>
      </c>
      <c r="U19" s="8" t="n">
        <v>0</v>
      </c>
      <c r="V19" s="8" t="n">
        <v>0</v>
      </c>
      <c r="W19" s="8" t="n">
        <v>0</v>
      </c>
      <c r="X19" s="8" t="n">
        <v>0</v>
      </c>
      <c r="Y19" s="8" t="n">
        <v>0</v>
      </c>
      <c r="Z19" s="8" t="n">
        <v>0</v>
      </c>
      <c r="AA19" s="8" t="n">
        <v>0</v>
      </c>
      <c r="AB19" s="8" t="n">
        <v>0</v>
      </c>
      <c r="AC19" s="8" t="n">
        <v>0</v>
      </c>
      <c r="AD19" s="8" t="n">
        <v>0</v>
      </c>
    </row>
    <row r="20" customFormat="false" ht="15" hidden="false" customHeight="false" outlineLevel="0" collapsed="false">
      <c r="A20" s="38" t="s">
        <v>1276</v>
      </c>
      <c r="B20" s="8" t="s">
        <v>1277</v>
      </c>
      <c r="C20" s="39" t="n">
        <v>6927</v>
      </c>
      <c r="D20" s="40" t="n">
        <v>45593</v>
      </c>
      <c r="E20" s="8" t="n">
        <v>13</v>
      </c>
      <c r="F20" s="39" t="n">
        <v>780600</v>
      </c>
      <c r="G20" s="39" t="n">
        <v>4815</v>
      </c>
      <c r="H20" s="39" t="n">
        <v>152</v>
      </c>
      <c r="I20" s="39" t="n">
        <v>3451</v>
      </c>
      <c r="J20" s="39" t="n">
        <v>4276</v>
      </c>
      <c r="K20" s="8" t="s">
        <v>1240</v>
      </c>
      <c r="L20" s="41" t="s">
        <v>1278</v>
      </c>
      <c r="M20" s="42" t="n">
        <f aca="false">IFERROR(I20/F20,0)</f>
        <v>0.0044209582372534</v>
      </c>
      <c r="N20" s="42" t="n">
        <f aca="false">IFERROR(J20/F20,0)</f>
        <v>0.00547783756085063</v>
      </c>
      <c r="O20" s="8" t="n">
        <v>0</v>
      </c>
      <c r="P20" s="8" t="n">
        <v>0</v>
      </c>
      <c r="Q20" s="8" t="n">
        <v>0</v>
      </c>
      <c r="R20" s="8" t="n">
        <v>0</v>
      </c>
      <c r="S20" s="8" t="n">
        <v>0</v>
      </c>
      <c r="T20" s="8" t="n">
        <v>1</v>
      </c>
      <c r="U20" s="8" t="n">
        <v>0</v>
      </c>
      <c r="V20" s="8" t="n">
        <v>0</v>
      </c>
      <c r="W20" s="8" t="n">
        <v>0</v>
      </c>
      <c r="X20" s="8" t="n">
        <v>1</v>
      </c>
      <c r="Y20" s="8" t="n">
        <v>0</v>
      </c>
      <c r="Z20" s="8" t="n">
        <v>0</v>
      </c>
      <c r="AA20" s="8" t="n">
        <v>0</v>
      </c>
      <c r="AB20" s="8" t="n">
        <v>0</v>
      </c>
      <c r="AC20" s="8" t="n">
        <v>0</v>
      </c>
      <c r="AD20" s="8" t="n">
        <v>0</v>
      </c>
    </row>
    <row r="21" customFormat="false" ht="15" hidden="false" customHeight="false" outlineLevel="0" collapsed="false">
      <c r="A21" s="38" t="s">
        <v>1279</v>
      </c>
      <c r="B21" s="8" t="s">
        <v>1274</v>
      </c>
      <c r="C21" s="39" t="n">
        <v>23900</v>
      </c>
      <c r="D21" s="40" t="n">
        <v>45780</v>
      </c>
      <c r="E21" s="8" t="n">
        <v>27</v>
      </c>
      <c r="F21" s="39" t="n">
        <v>558000</v>
      </c>
      <c r="G21" s="39" t="n">
        <v>16100</v>
      </c>
      <c r="H21" s="39" t="n">
        <v>201</v>
      </c>
      <c r="I21" s="39" t="n">
        <v>7359</v>
      </c>
      <c r="J21" s="39" t="n">
        <v>5925</v>
      </c>
      <c r="K21" s="8" t="s">
        <v>1240</v>
      </c>
      <c r="L21" s="41" t="s">
        <v>1280</v>
      </c>
      <c r="M21" s="42" t="n">
        <f aca="false">IFERROR(I21/F21,0)</f>
        <v>0.0131881720430108</v>
      </c>
      <c r="N21" s="42" t="n">
        <f aca="false">IFERROR(J21/F21,0)</f>
        <v>0.0106182795698925</v>
      </c>
      <c r="O21" s="8" t="n">
        <v>0</v>
      </c>
      <c r="P21" s="8" t="n">
        <v>1</v>
      </c>
      <c r="Q21" s="8" t="n">
        <v>0</v>
      </c>
      <c r="R21" s="8" t="n">
        <v>0</v>
      </c>
      <c r="S21" s="8" t="n">
        <v>0</v>
      </c>
      <c r="T21" s="8" t="n">
        <v>0</v>
      </c>
      <c r="U21" s="8" t="n">
        <v>0</v>
      </c>
      <c r="V21" s="8" t="n">
        <v>0</v>
      </c>
      <c r="W21" s="8" t="n">
        <v>0</v>
      </c>
      <c r="X21" s="8" t="n">
        <v>0</v>
      </c>
      <c r="Y21" s="8" t="n">
        <v>0</v>
      </c>
      <c r="Z21" s="8" t="n">
        <v>0</v>
      </c>
      <c r="AA21" s="8" t="n">
        <v>0</v>
      </c>
      <c r="AB21" s="8" t="n">
        <v>0</v>
      </c>
      <c r="AC21" s="8" t="n">
        <v>0</v>
      </c>
      <c r="AD21" s="8" t="n">
        <v>0</v>
      </c>
    </row>
    <row r="22" customFormat="false" ht="15" hidden="false" customHeight="false" outlineLevel="0" collapsed="false">
      <c r="A22" s="38" t="s">
        <v>1281</v>
      </c>
      <c r="B22" s="8" t="s">
        <v>1282</v>
      </c>
      <c r="C22" s="39" t="n">
        <v>8921</v>
      </c>
      <c r="D22" s="40" t="n">
        <v>45948</v>
      </c>
      <c r="E22" s="8" t="n">
        <v>50</v>
      </c>
      <c r="F22" s="39" t="n">
        <v>536000</v>
      </c>
      <c r="G22" s="39" t="n">
        <v>7597</v>
      </c>
      <c r="H22" s="39" t="n">
        <v>725</v>
      </c>
      <c r="I22" s="39" t="n">
        <v>5476</v>
      </c>
      <c r="J22" s="39" t="n">
        <v>5341</v>
      </c>
      <c r="K22" s="8" t="s">
        <v>1240</v>
      </c>
      <c r="L22" s="41" t="s">
        <v>1283</v>
      </c>
      <c r="M22" s="42" t="n">
        <f aca="false">IFERROR(I22/F22,0)</f>
        <v>0.0102164179104478</v>
      </c>
      <c r="N22" s="42" t="n">
        <f aca="false">IFERROR(J22/F22,0)</f>
        <v>0.00996455223880597</v>
      </c>
      <c r="O22" s="8" t="n">
        <v>0</v>
      </c>
      <c r="P22" s="8" t="n">
        <v>0</v>
      </c>
      <c r="Q22" s="8" t="n">
        <v>0</v>
      </c>
      <c r="R22" s="8" t="n">
        <v>0</v>
      </c>
      <c r="S22" s="8" t="n">
        <v>0</v>
      </c>
      <c r="T22" s="8" t="n">
        <v>1</v>
      </c>
      <c r="U22" s="8" t="n">
        <v>0</v>
      </c>
      <c r="V22" s="8" t="n">
        <v>0</v>
      </c>
      <c r="W22" s="8" t="n">
        <v>0</v>
      </c>
      <c r="X22" s="8" t="n">
        <v>1</v>
      </c>
      <c r="Y22" s="8" t="n">
        <v>0</v>
      </c>
      <c r="Z22" s="8" t="n">
        <v>0</v>
      </c>
      <c r="AA22" s="8" t="n">
        <v>0</v>
      </c>
      <c r="AB22" s="8" t="n">
        <v>0</v>
      </c>
      <c r="AC22" s="8" t="n">
        <v>0</v>
      </c>
      <c r="AD22" s="8" t="n">
        <v>0</v>
      </c>
    </row>
    <row r="23" customFormat="false" ht="15" hidden="false" customHeight="false" outlineLevel="0" collapsed="false">
      <c r="A23" s="38" t="s">
        <v>1284</v>
      </c>
      <c r="B23" s="8" t="s">
        <v>1285</v>
      </c>
      <c r="C23" s="39" t="n">
        <v>3762</v>
      </c>
      <c r="D23" s="40" t="n">
        <v>45743</v>
      </c>
      <c r="E23" s="8" t="n">
        <v>41</v>
      </c>
      <c r="F23" s="39" t="n">
        <v>520100</v>
      </c>
      <c r="G23" s="39" t="n">
        <v>5956</v>
      </c>
      <c r="H23" s="39" t="n">
        <v>384</v>
      </c>
      <c r="I23" s="39" t="n">
        <v>3993</v>
      </c>
      <c r="J23" s="39" t="n">
        <v>5075</v>
      </c>
      <c r="K23" s="8" t="s">
        <v>1240</v>
      </c>
      <c r="L23" s="41" t="s">
        <v>1286</v>
      </c>
      <c r="M23" s="42" t="n">
        <f aca="false">IFERROR(I23/F23,0)</f>
        <v>0.00767736973658912</v>
      </c>
      <c r="N23" s="42" t="n">
        <f aca="false">IFERROR(J23/F23,0)</f>
        <v>0.00975773889636608</v>
      </c>
      <c r="O23" s="8" t="n">
        <v>0</v>
      </c>
      <c r="P23" s="8" t="n">
        <v>0</v>
      </c>
      <c r="Q23" s="8" t="n">
        <v>0</v>
      </c>
      <c r="R23" s="8" t="n">
        <v>0</v>
      </c>
      <c r="S23" s="8" t="n">
        <v>0</v>
      </c>
      <c r="T23" s="8" t="n">
        <v>1</v>
      </c>
      <c r="U23" s="8" t="n">
        <v>0</v>
      </c>
      <c r="V23" s="8" t="n">
        <v>0</v>
      </c>
      <c r="W23" s="8" t="n">
        <v>0</v>
      </c>
      <c r="X23" s="8" t="n">
        <v>1</v>
      </c>
      <c r="Y23" s="8" t="n">
        <v>0</v>
      </c>
      <c r="Z23" s="8" t="n">
        <v>0</v>
      </c>
      <c r="AA23" s="8" t="n">
        <v>0</v>
      </c>
      <c r="AB23" s="8" t="n">
        <v>0</v>
      </c>
      <c r="AC23" s="8" t="n">
        <v>0</v>
      </c>
      <c r="AD23" s="8" t="n">
        <v>0</v>
      </c>
    </row>
    <row r="24" customFormat="false" ht="15" hidden="false" customHeight="false" outlineLevel="0" collapsed="false">
      <c r="A24" s="38" t="s">
        <v>1287</v>
      </c>
      <c r="B24" s="8" t="s">
        <v>1288</v>
      </c>
      <c r="C24" s="39" t="n">
        <v>8763</v>
      </c>
      <c r="D24" s="40" t="n">
        <v>45909</v>
      </c>
      <c r="E24" s="8" t="n">
        <v>9</v>
      </c>
      <c r="F24" s="39" t="n">
        <v>518200</v>
      </c>
      <c r="G24" s="39" t="n">
        <v>8230</v>
      </c>
      <c r="H24" s="39" t="n">
        <v>91</v>
      </c>
      <c r="I24" s="39" t="n">
        <v>4438</v>
      </c>
      <c r="J24" s="39" t="n">
        <v>3034</v>
      </c>
      <c r="K24" s="8" t="s">
        <v>1240</v>
      </c>
      <c r="L24" s="41" t="s">
        <v>1289</v>
      </c>
      <c r="M24" s="42" t="n">
        <f aca="false">IFERROR(I24/F24,0)</f>
        <v>0.00856426090312621</v>
      </c>
      <c r="N24" s="42" t="n">
        <f aca="false">IFERROR(J24/F24,0)</f>
        <v>0.00585488228483211</v>
      </c>
      <c r="O24" s="8" t="n">
        <v>0</v>
      </c>
      <c r="P24" s="8" t="n">
        <v>0</v>
      </c>
      <c r="Q24" s="8" t="n">
        <v>0</v>
      </c>
      <c r="R24" s="8" t="n">
        <v>0</v>
      </c>
      <c r="S24" s="8" t="n">
        <v>0</v>
      </c>
      <c r="T24" s="8" t="n">
        <v>1</v>
      </c>
      <c r="U24" s="8" t="n">
        <v>0</v>
      </c>
      <c r="V24" s="8" t="n">
        <v>0</v>
      </c>
      <c r="W24" s="8" t="n">
        <v>0</v>
      </c>
      <c r="X24" s="8" t="n">
        <v>1</v>
      </c>
      <c r="Y24" s="8" t="n">
        <v>0</v>
      </c>
      <c r="Z24" s="8" t="n">
        <v>0</v>
      </c>
      <c r="AA24" s="8" t="n">
        <v>0</v>
      </c>
      <c r="AB24" s="8" t="n">
        <v>0</v>
      </c>
      <c r="AC24" s="8" t="n">
        <v>0</v>
      </c>
      <c r="AD24" s="8" t="n">
        <v>0</v>
      </c>
    </row>
    <row r="25" customFormat="false" ht="15" hidden="false" customHeight="false" outlineLevel="0" collapsed="false">
      <c r="A25" s="38" t="s">
        <v>1290</v>
      </c>
      <c r="B25" s="8" t="s">
        <v>1291</v>
      </c>
      <c r="C25" s="39" t="n">
        <v>1557</v>
      </c>
      <c r="D25" s="40" t="n">
        <v>46081</v>
      </c>
      <c r="E25" s="8" t="n">
        <v>24</v>
      </c>
      <c r="F25" s="39" t="n">
        <v>502200</v>
      </c>
      <c r="G25" s="39" t="n">
        <v>1692</v>
      </c>
      <c r="H25" s="39" t="n">
        <v>79</v>
      </c>
      <c r="I25" s="39" t="n">
        <v>822</v>
      </c>
      <c r="J25" s="39" t="n">
        <v>1445</v>
      </c>
      <c r="K25" s="8" t="s">
        <v>1240</v>
      </c>
      <c r="L25" s="41" t="s">
        <v>1292</v>
      </c>
      <c r="M25" s="42" t="n">
        <f aca="false">IFERROR(I25/F25,0)</f>
        <v>0.00163679808841099</v>
      </c>
      <c r="N25" s="42" t="n">
        <f aca="false">IFERROR(J25/F25,0)</f>
        <v>0.00287733970529669</v>
      </c>
      <c r="O25" s="8" t="n">
        <v>0</v>
      </c>
      <c r="P25" s="8" t="n">
        <v>0</v>
      </c>
      <c r="Q25" s="8" t="n">
        <v>0</v>
      </c>
      <c r="R25" s="8" t="n">
        <v>0</v>
      </c>
      <c r="S25" s="8" t="n">
        <v>0</v>
      </c>
      <c r="T25" s="8" t="n">
        <v>1</v>
      </c>
      <c r="U25" s="8" t="n">
        <v>0</v>
      </c>
      <c r="V25" s="8" t="n">
        <v>0</v>
      </c>
      <c r="W25" s="8" t="n">
        <v>0</v>
      </c>
      <c r="X25" s="8" t="n">
        <v>1</v>
      </c>
      <c r="Y25" s="8" t="n">
        <v>0</v>
      </c>
      <c r="Z25" s="8" t="n">
        <v>0</v>
      </c>
      <c r="AA25" s="8" t="n">
        <v>0</v>
      </c>
      <c r="AB25" s="8" t="n">
        <v>0</v>
      </c>
      <c r="AC25" s="8" t="n">
        <v>0</v>
      </c>
      <c r="AD25" s="8" t="n">
        <v>0</v>
      </c>
    </row>
    <row r="26" customFormat="false" ht="15" hidden="false" customHeight="false" outlineLevel="0" collapsed="false">
      <c r="A26" s="38" t="s">
        <v>1293</v>
      </c>
      <c r="B26" s="8" t="s">
        <v>1294</v>
      </c>
      <c r="C26" s="39" t="n">
        <v>96700</v>
      </c>
      <c r="D26" s="40" t="n">
        <v>45023</v>
      </c>
      <c r="E26" s="8" t="n">
        <v>13</v>
      </c>
      <c r="F26" s="39" t="n">
        <v>474400</v>
      </c>
      <c r="G26" s="39" t="n">
        <v>39100</v>
      </c>
      <c r="H26" s="39" t="n">
        <v>137</v>
      </c>
      <c r="I26" s="39" t="n">
        <v>3564</v>
      </c>
      <c r="J26" s="39" t="n">
        <v>4647</v>
      </c>
      <c r="K26" s="8" t="s">
        <v>1240</v>
      </c>
      <c r="L26" s="41" t="s">
        <v>1295</v>
      </c>
      <c r="M26" s="42" t="n">
        <f aca="false">IFERROR(I26/F26,0)</f>
        <v>0.00751264755480607</v>
      </c>
      <c r="N26" s="42" t="n">
        <f aca="false">IFERROR(J26/F26,0)</f>
        <v>0.00979553119730186</v>
      </c>
      <c r="O26" s="8" t="n">
        <v>0</v>
      </c>
      <c r="P26" s="8" t="n">
        <v>0</v>
      </c>
      <c r="Q26" s="8" t="n">
        <v>0</v>
      </c>
      <c r="R26" s="8" t="n">
        <v>0</v>
      </c>
      <c r="S26" s="8" t="n">
        <v>0</v>
      </c>
      <c r="T26" s="8" t="n">
        <v>0</v>
      </c>
      <c r="U26" s="8" t="n">
        <v>0</v>
      </c>
      <c r="V26" s="8" t="n">
        <v>0</v>
      </c>
      <c r="W26" s="8" t="n">
        <v>0</v>
      </c>
      <c r="X26" s="8" t="n">
        <v>0</v>
      </c>
      <c r="Y26" s="8" t="n">
        <v>0</v>
      </c>
      <c r="Z26" s="8" t="n">
        <v>0</v>
      </c>
      <c r="AA26" s="8" t="n">
        <v>0</v>
      </c>
      <c r="AB26" s="8" t="n">
        <v>1</v>
      </c>
      <c r="AC26" s="8" t="n">
        <v>0</v>
      </c>
      <c r="AD26" s="8" t="n">
        <v>0</v>
      </c>
    </row>
    <row r="27" customFormat="false" ht="15" hidden="false" customHeight="false" outlineLevel="0" collapsed="false">
      <c r="A27" s="38" t="s">
        <v>1207</v>
      </c>
      <c r="B27" s="8" t="s">
        <v>1296</v>
      </c>
      <c r="C27" s="39" t="n">
        <v>47400</v>
      </c>
      <c r="D27" s="40" t="n">
        <v>45210</v>
      </c>
      <c r="E27" s="8" t="n">
        <v>32</v>
      </c>
      <c r="F27" s="39" t="n">
        <v>446300</v>
      </c>
      <c r="G27" s="39" t="n">
        <v>8025</v>
      </c>
      <c r="H27" s="39" t="n">
        <v>87</v>
      </c>
      <c r="I27" s="39" t="n">
        <v>3915</v>
      </c>
      <c r="J27" s="39" t="n">
        <v>2196</v>
      </c>
      <c r="K27" s="8" t="s">
        <v>1243</v>
      </c>
      <c r="L27" s="41" t="s">
        <v>1297</v>
      </c>
      <c r="M27" s="42" t="n">
        <f aca="false">IFERROR(I27/F27,0)</f>
        <v>0.00877212637239525</v>
      </c>
      <c r="N27" s="42" t="n">
        <f aca="false">IFERROR(J27/F27,0)</f>
        <v>0.00492045709164239</v>
      </c>
      <c r="O27" s="8" t="n">
        <v>1</v>
      </c>
      <c r="P27" s="8" t="n">
        <v>0</v>
      </c>
      <c r="Q27" s="8" t="n">
        <v>0</v>
      </c>
      <c r="R27" s="8" t="n">
        <v>1</v>
      </c>
      <c r="S27" s="8" t="n">
        <v>0</v>
      </c>
      <c r="T27" s="8" t="n">
        <v>0</v>
      </c>
      <c r="U27" s="8" t="n">
        <v>0</v>
      </c>
      <c r="V27" s="8" t="n">
        <v>0</v>
      </c>
      <c r="W27" s="8" t="n">
        <v>0</v>
      </c>
      <c r="X27" s="8" t="n">
        <v>0</v>
      </c>
      <c r="Y27" s="8" t="n">
        <v>0</v>
      </c>
      <c r="Z27" s="8" t="n">
        <v>0</v>
      </c>
      <c r="AA27" s="8" t="n">
        <v>0</v>
      </c>
      <c r="AB27" s="8" t="n">
        <v>0</v>
      </c>
      <c r="AC27" s="8" t="n">
        <v>0</v>
      </c>
      <c r="AD27" s="8" t="n">
        <v>0</v>
      </c>
    </row>
    <row r="28" customFormat="false" ht="15" hidden="false" customHeight="false" outlineLevel="0" collapsed="false">
      <c r="A28" s="38" t="s">
        <v>1298</v>
      </c>
      <c r="B28" s="8" t="s">
        <v>1299</v>
      </c>
      <c r="C28" s="39" t="n">
        <v>1093</v>
      </c>
      <c r="D28" s="40" t="n">
        <v>46267</v>
      </c>
      <c r="E28" s="8" t="n">
        <v>10</v>
      </c>
      <c r="F28" s="39" t="n">
        <v>433700</v>
      </c>
      <c r="G28" s="39" t="n">
        <v>2962</v>
      </c>
      <c r="H28" s="39" t="n">
        <v>36</v>
      </c>
      <c r="I28" s="39" t="n">
        <v>154</v>
      </c>
      <c r="J28" s="39" t="n">
        <v>203</v>
      </c>
      <c r="K28" s="8" t="s">
        <v>1240</v>
      </c>
      <c r="L28" s="41" t="s">
        <v>1300</v>
      </c>
      <c r="M28" s="42" t="n">
        <f aca="false">IFERROR(I28/F28,0)</f>
        <v>0.000355084159557298</v>
      </c>
      <c r="N28" s="42" t="n">
        <f aca="false">IFERROR(J28/F28,0)</f>
        <v>0.000468065483052801</v>
      </c>
      <c r="O28" s="8" t="n">
        <v>0</v>
      </c>
      <c r="P28" s="8" t="n">
        <v>0</v>
      </c>
      <c r="Q28" s="8" t="n">
        <v>0</v>
      </c>
      <c r="R28" s="8" t="n">
        <v>0</v>
      </c>
      <c r="S28" s="8" t="n">
        <v>0</v>
      </c>
      <c r="T28" s="8" t="n">
        <v>0</v>
      </c>
      <c r="U28" s="8" t="n">
        <v>0</v>
      </c>
      <c r="V28" s="8" t="n">
        <v>0</v>
      </c>
      <c r="W28" s="8" t="n">
        <v>0</v>
      </c>
      <c r="X28" s="8" t="n">
        <v>0</v>
      </c>
      <c r="Y28" s="8" t="n">
        <v>0</v>
      </c>
      <c r="Z28" s="8" t="n">
        <v>0</v>
      </c>
      <c r="AA28" s="8" t="n">
        <v>0</v>
      </c>
      <c r="AB28" s="8" t="n">
        <v>0</v>
      </c>
      <c r="AC28" s="8" t="n">
        <v>0</v>
      </c>
      <c r="AD28" s="8" t="n">
        <v>0</v>
      </c>
    </row>
    <row r="29" customFormat="false" ht="15" hidden="false" customHeight="false" outlineLevel="0" collapsed="false">
      <c r="A29" s="38" t="s">
        <v>1209</v>
      </c>
      <c r="B29" s="8" t="s">
        <v>1301</v>
      </c>
      <c r="C29" s="39" t="n">
        <v>25400</v>
      </c>
      <c r="D29" s="40" t="n">
        <v>46199</v>
      </c>
      <c r="E29" s="8" t="n">
        <v>52</v>
      </c>
      <c r="F29" s="39" t="n">
        <v>418000</v>
      </c>
      <c r="G29" s="39" t="n">
        <v>6021</v>
      </c>
      <c r="H29" s="39" t="n">
        <v>97</v>
      </c>
      <c r="I29" s="39" t="n">
        <v>2765</v>
      </c>
      <c r="J29" s="39" t="n">
        <v>2147</v>
      </c>
      <c r="K29" s="8" t="s">
        <v>1243</v>
      </c>
      <c r="L29" s="41" t="s">
        <v>1302</v>
      </c>
      <c r="M29" s="42" t="n">
        <f aca="false">IFERROR(I29/F29,0)</f>
        <v>0.00661483253588517</v>
      </c>
      <c r="N29" s="42" t="n">
        <f aca="false">IFERROR(J29/F29,0)</f>
        <v>0.00513636363636364</v>
      </c>
      <c r="O29" s="8" t="n">
        <v>1</v>
      </c>
      <c r="P29" s="8" t="n">
        <v>0</v>
      </c>
      <c r="Q29" s="8" t="n">
        <v>0</v>
      </c>
      <c r="R29" s="8" t="n">
        <v>1</v>
      </c>
      <c r="S29" s="8" t="n">
        <v>0</v>
      </c>
      <c r="T29" s="8" t="n">
        <v>0</v>
      </c>
      <c r="U29" s="8" t="n">
        <v>0</v>
      </c>
      <c r="V29" s="8" t="n">
        <v>0</v>
      </c>
      <c r="W29" s="8" t="n">
        <v>0</v>
      </c>
      <c r="X29" s="8" t="n">
        <v>0</v>
      </c>
      <c r="Y29" s="8" t="n">
        <v>0</v>
      </c>
      <c r="Z29" s="8" t="n">
        <v>0</v>
      </c>
      <c r="AA29" s="8" t="n">
        <v>0</v>
      </c>
      <c r="AB29" s="8" t="n">
        <v>0</v>
      </c>
      <c r="AC29" s="8" t="n">
        <v>0</v>
      </c>
      <c r="AD29" s="8" t="n">
        <v>0</v>
      </c>
    </row>
    <row r="30" customFormat="false" ht="15" hidden="false" customHeight="false" outlineLevel="0" collapsed="false">
      <c r="A30" s="38" t="s">
        <v>1303</v>
      </c>
      <c r="B30" s="8" t="s">
        <v>1304</v>
      </c>
      <c r="C30" s="39" t="n">
        <v>4041</v>
      </c>
      <c r="D30" s="40" t="n">
        <v>45502</v>
      </c>
      <c r="E30" s="8" t="n">
        <v>39</v>
      </c>
      <c r="F30" s="39" t="n">
        <v>376000</v>
      </c>
      <c r="G30" s="39" t="n">
        <v>3844</v>
      </c>
      <c r="H30" s="39" t="n">
        <v>241</v>
      </c>
      <c r="I30" s="39" t="n">
        <v>2543</v>
      </c>
      <c r="J30" s="39" t="n">
        <v>2996</v>
      </c>
      <c r="K30" s="8" t="s">
        <v>1240</v>
      </c>
      <c r="L30" s="41" t="s">
        <v>1305</v>
      </c>
      <c r="M30" s="42" t="n">
        <f aca="false">IFERROR(I30/F30,0)</f>
        <v>0.00676329787234043</v>
      </c>
      <c r="N30" s="42" t="n">
        <f aca="false">IFERROR(J30/F30,0)</f>
        <v>0.00796808510638298</v>
      </c>
      <c r="O30" s="8" t="n">
        <v>0</v>
      </c>
      <c r="P30" s="8" t="n">
        <v>0</v>
      </c>
      <c r="Q30" s="8" t="n">
        <v>0</v>
      </c>
      <c r="R30" s="8" t="n">
        <v>0</v>
      </c>
      <c r="S30" s="8" t="n">
        <v>0</v>
      </c>
      <c r="T30" s="8" t="n">
        <v>1</v>
      </c>
      <c r="U30" s="8" t="n">
        <v>0</v>
      </c>
      <c r="V30" s="8" t="n">
        <v>0</v>
      </c>
      <c r="W30" s="8" t="n">
        <v>0</v>
      </c>
      <c r="X30" s="8" t="n">
        <v>1</v>
      </c>
      <c r="Y30" s="8" t="n">
        <v>0</v>
      </c>
      <c r="Z30" s="8" t="n">
        <v>0</v>
      </c>
      <c r="AA30" s="8" t="n">
        <v>0</v>
      </c>
      <c r="AB30" s="8" t="n">
        <v>0</v>
      </c>
      <c r="AC30" s="8" t="n">
        <v>0</v>
      </c>
      <c r="AD30" s="8" t="n">
        <v>0</v>
      </c>
    </row>
    <row r="31" customFormat="false" ht="15" hidden="false" customHeight="false" outlineLevel="0" collapsed="false">
      <c r="A31" s="38" t="s">
        <v>1306</v>
      </c>
      <c r="B31" s="8" t="s">
        <v>1307</v>
      </c>
      <c r="C31" s="39" t="n">
        <v>10400</v>
      </c>
      <c r="D31" s="40" t="n">
        <v>46177</v>
      </c>
      <c r="E31" s="8" t="n">
        <v>17</v>
      </c>
      <c r="F31" s="39" t="n">
        <v>374300</v>
      </c>
      <c r="G31" s="39" t="n">
        <v>1807</v>
      </c>
      <c r="H31" s="39" t="n">
        <v>9</v>
      </c>
      <c r="I31" s="39" t="n">
        <v>22</v>
      </c>
      <c r="J31" s="39" t="n">
        <v>131</v>
      </c>
      <c r="K31" s="8" t="s">
        <v>1240</v>
      </c>
      <c r="L31" s="41" t="s">
        <v>1308</v>
      </c>
      <c r="M31" s="42" t="n">
        <f aca="false">IFERROR(I31/F31,0)</f>
        <v>5.87763825808175E-005</v>
      </c>
      <c r="N31" s="42" t="n">
        <f aca="false">IFERROR(J31/F31,0)</f>
        <v>0.000349986641731232</v>
      </c>
      <c r="O31" s="8" t="n">
        <v>0</v>
      </c>
      <c r="P31" s="8" t="n">
        <v>0</v>
      </c>
      <c r="Q31" s="8" t="n">
        <v>0</v>
      </c>
      <c r="R31" s="8" t="n">
        <v>0</v>
      </c>
      <c r="S31" s="8" t="n">
        <v>0</v>
      </c>
      <c r="T31" s="8" t="n">
        <v>0</v>
      </c>
      <c r="U31" s="8" t="n">
        <v>0</v>
      </c>
      <c r="V31" s="8" t="n">
        <v>0</v>
      </c>
      <c r="W31" s="8" t="n">
        <v>0</v>
      </c>
      <c r="X31" s="8" t="n">
        <v>0</v>
      </c>
      <c r="Y31" s="8" t="n">
        <v>0</v>
      </c>
      <c r="Z31" s="8" t="n">
        <v>0</v>
      </c>
      <c r="AA31" s="8" t="n">
        <v>0</v>
      </c>
      <c r="AB31" s="8" t="n">
        <v>0</v>
      </c>
      <c r="AC31" s="8" t="n">
        <v>0</v>
      </c>
      <c r="AD31" s="8" t="n">
        <v>0</v>
      </c>
    </row>
    <row r="32" customFormat="false" ht="15" hidden="false" customHeight="false" outlineLevel="0" collapsed="false">
      <c r="A32" s="38" t="s">
        <v>1210</v>
      </c>
      <c r="B32" s="8" t="s">
        <v>1242</v>
      </c>
      <c r="C32" s="39" t="n">
        <v>602300</v>
      </c>
      <c r="D32" s="40" t="n">
        <v>46155</v>
      </c>
      <c r="E32" s="8" t="n">
        <v>13</v>
      </c>
      <c r="F32" s="39" t="n">
        <v>355700</v>
      </c>
      <c r="G32" s="39" t="n">
        <v>6238</v>
      </c>
      <c r="H32" s="39" t="n">
        <v>59</v>
      </c>
      <c r="I32" s="39" t="n">
        <v>2079</v>
      </c>
      <c r="J32" s="39" t="n">
        <v>1995</v>
      </c>
      <c r="K32" s="8" t="s">
        <v>1243</v>
      </c>
      <c r="L32" s="41" t="s">
        <v>1309</v>
      </c>
      <c r="M32" s="42" t="n">
        <f aca="false">IFERROR(I32/F32,0)</f>
        <v>0.00584481304470059</v>
      </c>
      <c r="N32" s="42" t="n">
        <f aca="false">IFERROR(J32/F32,0)</f>
        <v>0.00560865898228845</v>
      </c>
      <c r="O32" s="8" t="n">
        <v>1</v>
      </c>
      <c r="P32" s="8" t="n">
        <v>1</v>
      </c>
      <c r="Q32" s="8" t="n">
        <v>0</v>
      </c>
      <c r="R32" s="8" t="n">
        <v>1</v>
      </c>
      <c r="S32" s="8" t="n">
        <v>0</v>
      </c>
      <c r="T32" s="8" t="n">
        <v>0</v>
      </c>
      <c r="U32" s="8" t="n">
        <v>0</v>
      </c>
      <c r="V32" s="8" t="n">
        <v>0</v>
      </c>
      <c r="W32" s="8" t="n">
        <v>0</v>
      </c>
      <c r="X32" s="8" t="n">
        <v>0</v>
      </c>
      <c r="Y32" s="8" t="n">
        <v>0</v>
      </c>
      <c r="Z32" s="8" t="n">
        <v>0</v>
      </c>
      <c r="AA32" s="8" t="n">
        <v>0</v>
      </c>
      <c r="AB32" s="8" t="n">
        <v>0</v>
      </c>
      <c r="AC32" s="8" t="n">
        <v>0</v>
      </c>
      <c r="AD32" s="8" t="n">
        <v>1</v>
      </c>
    </row>
    <row r="33" customFormat="false" ht="15" hidden="false" customHeight="false" outlineLevel="0" collapsed="false">
      <c r="A33" s="38" t="s">
        <v>1310</v>
      </c>
      <c r="B33" s="8" t="s">
        <v>1311</v>
      </c>
      <c r="C33" s="39" t="n">
        <v>18400</v>
      </c>
      <c r="D33" s="40" t="n">
        <v>46235</v>
      </c>
      <c r="E33" s="8" t="n">
        <v>474</v>
      </c>
      <c r="F33" s="39" t="n">
        <v>344700</v>
      </c>
      <c r="G33" s="39" t="n">
        <v>6952</v>
      </c>
      <c r="H33" s="39" t="n">
        <v>223</v>
      </c>
      <c r="I33" s="39" t="n">
        <v>2210</v>
      </c>
      <c r="J33" s="39" t="n">
        <v>1965</v>
      </c>
      <c r="K33" s="8" t="s">
        <v>1243</v>
      </c>
      <c r="L33" s="41" t="s">
        <v>1312</v>
      </c>
      <c r="M33" s="42" t="n">
        <f aca="false">IFERROR(I33/F33,0)</f>
        <v>0.00641137220771686</v>
      </c>
      <c r="N33" s="42" t="n">
        <f aca="false">IFERROR(J33/F33,0)</f>
        <v>0.0057006092254134</v>
      </c>
      <c r="O33" s="8" t="n">
        <v>0</v>
      </c>
      <c r="P33" s="8" t="n">
        <v>0</v>
      </c>
      <c r="Q33" s="8" t="n">
        <v>1</v>
      </c>
      <c r="R33" s="8" t="n">
        <v>0</v>
      </c>
      <c r="S33" s="8" t="n">
        <v>0</v>
      </c>
      <c r="T33" s="8" t="n">
        <v>0</v>
      </c>
      <c r="U33" s="8" t="n">
        <v>0</v>
      </c>
      <c r="V33" s="8" t="n">
        <v>0</v>
      </c>
      <c r="W33" s="8" t="n">
        <v>0</v>
      </c>
      <c r="X33" s="8" t="n">
        <v>0</v>
      </c>
      <c r="Y33" s="8" t="n">
        <v>0</v>
      </c>
      <c r="Z33" s="8" t="n">
        <v>0</v>
      </c>
      <c r="AA33" s="8" t="n">
        <v>0</v>
      </c>
      <c r="AB33" s="8" t="n">
        <v>1</v>
      </c>
      <c r="AC33" s="8" t="n">
        <v>0</v>
      </c>
      <c r="AD33" s="8" t="n">
        <v>1</v>
      </c>
    </row>
    <row r="34" customFormat="false" ht="15" hidden="false" customHeight="false" outlineLevel="0" collapsed="false">
      <c r="A34" s="38" t="s">
        <v>1313</v>
      </c>
      <c r="B34" s="8" t="s">
        <v>1314</v>
      </c>
      <c r="C34" s="39" t="n">
        <v>1233</v>
      </c>
      <c r="D34" s="40" t="n">
        <v>45221</v>
      </c>
      <c r="E34" s="8" t="n">
        <v>44</v>
      </c>
      <c r="F34" s="39" t="n">
        <v>308400</v>
      </c>
      <c r="G34" s="39" t="n">
        <v>3320</v>
      </c>
      <c r="H34" s="39" t="n">
        <v>187</v>
      </c>
      <c r="I34" s="39" t="n">
        <v>2494</v>
      </c>
      <c r="J34" s="39" t="n">
        <v>3259</v>
      </c>
      <c r="K34" s="8" t="s">
        <v>1240</v>
      </c>
      <c r="L34" s="41" t="s">
        <v>1315</v>
      </c>
      <c r="M34" s="42" t="n">
        <f aca="false">IFERROR(I34/F34,0)</f>
        <v>0.00808690012970169</v>
      </c>
      <c r="N34" s="42" t="n">
        <f aca="false">IFERROR(J34/F34,0)</f>
        <v>0.0105674448767834</v>
      </c>
      <c r="O34" s="8" t="n">
        <v>0</v>
      </c>
      <c r="P34" s="8" t="n">
        <v>0</v>
      </c>
      <c r="Q34" s="8" t="n">
        <v>0</v>
      </c>
      <c r="R34" s="8" t="n">
        <v>0</v>
      </c>
      <c r="S34" s="8" t="n">
        <v>0</v>
      </c>
      <c r="T34" s="8" t="n">
        <v>1</v>
      </c>
      <c r="U34" s="8" t="n">
        <v>0</v>
      </c>
      <c r="V34" s="8" t="n">
        <v>0</v>
      </c>
      <c r="W34" s="8" t="n">
        <v>0</v>
      </c>
      <c r="X34" s="8" t="n">
        <v>1</v>
      </c>
      <c r="Y34" s="8" t="n">
        <v>0</v>
      </c>
      <c r="Z34" s="8" t="n">
        <v>0</v>
      </c>
      <c r="AA34" s="8" t="n">
        <v>0</v>
      </c>
      <c r="AB34" s="8" t="n">
        <v>0</v>
      </c>
      <c r="AC34" s="8" t="n">
        <v>0</v>
      </c>
      <c r="AD34" s="8" t="n">
        <v>0</v>
      </c>
    </row>
    <row r="35" customFormat="false" ht="15" hidden="false" customHeight="false" outlineLevel="0" collapsed="false">
      <c r="A35" s="38" t="s">
        <v>1316</v>
      </c>
      <c r="B35" s="8" t="s">
        <v>1317</v>
      </c>
      <c r="C35" s="39" t="n">
        <v>2338</v>
      </c>
      <c r="D35" s="40" t="n">
        <v>45867</v>
      </c>
      <c r="E35" s="8" t="n">
        <v>59</v>
      </c>
      <c r="F35" s="39" t="n">
        <v>297700</v>
      </c>
      <c r="G35" s="39" t="n">
        <v>2486</v>
      </c>
      <c r="H35" s="39" t="n">
        <v>94</v>
      </c>
      <c r="I35" s="39" t="n">
        <v>171</v>
      </c>
      <c r="J35" s="39" t="n">
        <v>277</v>
      </c>
      <c r="K35" s="8" t="s">
        <v>1240</v>
      </c>
      <c r="L35" s="41" t="s">
        <v>1318</v>
      </c>
      <c r="M35" s="42" t="n">
        <f aca="false">IFERROR(I35/F35,0)</f>
        <v>0.000574403762176688</v>
      </c>
      <c r="N35" s="42" t="n">
        <f aca="false">IFERROR(J35/F35,0)</f>
        <v>0.000930466912999664</v>
      </c>
      <c r="O35" s="8" t="n">
        <v>0</v>
      </c>
      <c r="P35" s="8" t="n">
        <v>1</v>
      </c>
      <c r="Q35" s="8" t="n">
        <v>0</v>
      </c>
      <c r="R35" s="8" t="n">
        <v>0</v>
      </c>
      <c r="S35" s="8" t="n">
        <v>0</v>
      </c>
      <c r="T35" s="8" t="n">
        <v>0</v>
      </c>
      <c r="U35" s="8" t="n">
        <v>0</v>
      </c>
      <c r="V35" s="8" t="n">
        <v>0</v>
      </c>
      <c r="W35" s="8" t="n">
        <v>0</v>
      </c>
      <c r="X35" s="8" t="n">
        <v>1</v>
      </c>
      <c r="Y35" s="8" t="n">
        <v>0</v>
      </c>
      <c r="Z35" s="8" t="n">
        <v>0</v>
      </c>
      <c r="AA35" s="8" t="n">
        <v>0</v>
      </c>
      <c r="AB35" s="8" t="n">
        <v>0</v>
      </c>
      <c r="AC35" s="8" t="n">
        <v>0</v>
      </c>
      <c r="AD35" s="8" t="n">
        <v>0</v>
      </c>
    </row>
    <row r="36" customFormat="false" ht="15" hidden="false" customHeight="false" outlineLevel="0" collapsed="false">
      <c r="A36" s="38" t="s">
        <v>1211</v>
      </c>
      <c r="B36" s="8" t="s">
        <v>1260</v>
      </c>
      <c r="C36" s="39" t="n">
        <v>18100</v>
      </c>
      <c r="D36" s="40" t="n">
        <v>45928</v>
      </c>
      <c r="E36" s="8" t="n">
        <v>20</v>
      </c>
      <c r="F36" s="39" t="n">
        <v>293400</v>
      </c>
      <c r="G36" s="39" t="n">
        <v>5002</v>
      </c>
      <c r="H36" s="39" t="n">
        <v>101</v>
      </c>
      <c r="I36" s="39" t="n">
        <v>1047</v>
      </c>
      <c r="J36" s="39" t="n">
        <v>555</v>
      </c>
      <c r="K36" s="8" t="s">
        <v>1243</v>
      </c>
      <c r="L36" s="41" t="s">
        <v>1319</v>
      </c>
      <c r="M36" s="42" t="n">
        <f aca="false">IFERROR(I36/F36,0)</f>
        <v>0.00356850715746421</v>
      </c>
      <c r="N36" s="42" t="n">
        <f aca="false">IFERROR(J36/F36,0)</f>
        <v>0.00189161554192229</v>
      </c>
      <c r="O36" s="8" t="n">
        <v>1</v>
      </c>
      <c r="P36" s="8" t="n">
        <v>1</v>
      </c>
      <c r="Q36" s="8" t="n">
        <v>0</v>
      </c>
      <c r="R36" s="8" t="n">
        <v>1</v>
      </c>
      <c r="S36" s="8" t="n">
        <v>0</v>
      </c>
      <c r="T36" s="8" t="n">
        <v>0</v>
      </c>
      <c r="U36" s="8" t="n">
        <v>0</v>
      </c>
      <c r="V36" s="8" t="n">
        <v>0</v>
      </c>
      <c r="W36" s="8" t="n">
        <v>0</v>
      </c>
      <c r="X36" s="8" t="n">
        <v>0</v>
      </c>
      <c r="Y36" s="8" t="n">
        <v>0</v>
      </c>
      <c r="Z36" s="8" t="n">
        <v>0</v>
      </c>
      <c r="AA36" s="8" t="n">
        <v>0</v>
      </c>
      <c r="AB36" s="8" t="n">
        <v>0</v>
      </c>
      <c r="AC36" s="8" t="n">
        <v>0</v>
      </c>
      <c r="AD36" s="8" t="n">
        <v>0</v>
      </c>
    </row>
    <row r="37" customFormat="false" ht="15" hidden="false" customHeight="false" outlineLevel="0" collapsed="false">
      <c r="A37" s="38" t="s">
        <v>1320</v>
      </c>
      <c r="B37" s="8" t="s">
        <v>1321</v>
      </c>
      <c r="C37" s="39" t="n">
        <v>120800</v>
      </c>
      <c r="D37" s="40" t="n">
        <v>45324</v>
      </c>
      <c r="E37" s="8" t="n">
        <v>16</v>
      </c>
      <c r="F37" s="39" t="n">
        <v>266700</v>
      </c>
      <c r="G37" s="39" t="n">
        <v>3268</v>
      </c>
      <c r="H37" s="39" t="n">
        <v>25</v>
      </c>
      <c r="I37" s="39" t="n">
        <v>1478</v>
      </c>
      <c r="J37" s="39" t="n">
        <v>1229</v>
      </c>
      <c r="K37" s="8" t="s">
        <v>1240</v>
      </c>
      <c r="L37" s="41" t="s">
        <v>1322</v>
      </c>
      <c r="M37" s="42" t="n">
        <f aca="false">IFERROR(I37/F37,0)</f>
        <v>0.00554180727409074</v>
      </c>
      <c r="N37" s="42" t="n">
        <f aca="false">IFERROR(J37/F37,0)</f>
        <v>0.00460817397825272</v>
      </c>
      <c r="O37" s="8" t="n">
        <v>1</v>
      </c>
      <c r="P37" s="8" t="n">
        <v>1</v>
      </c>
      <c r="Q37" s="8" t="n">
        <v>0</v>
      </c>
      <c r="R37" s="8" t="n">
        <v>0</v>
      </c>
      <c r="S37" s="8" t="n">
        <v>0</v>
      </c>
      <c r="T37" s="8" t="n">
        <v>1</v>
      </c>
      <c r="U37" s="8" t="n">
        <v>0</v>
      </c>
      <c r="V37" s="8" t="n">
        <v>0</v>
      </c>
      <c r="W37" s="8" t="n">
        <v>0</v>
      </c>
      <c r="X37" s="8" t="n">
        <v>1</v>
      </c>
      <c r="Y37" s="8" t="n">
        <v>0</v>
      </c>
      <c r="Z37" s="8" t="n">
        <v>0</v>
      </c>
      <c r="AA37" s="8" t="n">
        <v>0</v>
      </c>
      <c r="AB37" s="8" t="n">
        <v>0</v>
      </c>
      <c r="AC37" s="8" t="n">
        <v>0</v>
      </c>
      <c r="AD37" s="8" t="n">
        <v>0</v>
      </c>
    </row>
    <row r="38" customFormat="false" ht="15" hidden="false" customHeight="false" outlineLevel="0" collapsed="false">
      <c r="A38" s="38" t="s">
        <v>1323</v>
      </c>
      <c r="B38" s="8" t="s">
        <v>1324</v>
      </c>
      <c r="C38" s="39" t="n">
        <v>2449</v>
      </c>
      <c r="D38" s="40" t="n">
        <v>45849</v>
      </c>
      <c r="E38" s="8" t="n">
        <v>83</v>
      </c>
      <c r="F38" s="39" t="n">
        <v>247300</v>
      </c>
      <c r="G38" s="39" t="n">
        <v>541</v>
      </c>
      <c r="H38" s="39" t="n">
        <v>13</v>
      </c>
      <c r="I38" s="39" t="n">
        <v>149</v>
      </c>
      <c r="J38" s="39" t="n">
        <v>121</v>
      </c>
      <c r="K38" s="8" t="s">
        <v>1243</v>
      </c>
      <c r="L38" s="41" t="s">
        <v>1325</v>
      </c>
      <c r="M38" s="42" t="n">
        <f aca="false">IFERROR(I38/F38,0)</f>
        <v>0.000602507076425394</v>
      </c>
      <c r="N38" s="42" t="n">
        <f aca="false">IFERROR(J38/F38,0)</f>
        <v>0.000489284270117266</v>
      </c>
      <c r="O38" s="8" t="n">
        <v>0</v>
      </c>
      <c r="P38" s="8" t="n">
        <v>0</v>
      </c>
      <c r="Q38" s="8" t="n">
        <v>0</v>
      </c>
      <c r="R38" s="8" t="n">
        <v>0</v>
      </c>
      <c r="S38" s="8" t="n">
        <v>0</v>
      </c>
      <c r="T38" s="8" t="n">
        <v>0</v>
      </c>
      <c r="U38" s="8" t="n">
        <v>0</v>
      </c>
      <c r="V38" s="8" t="n">
        <v>0</v>
      </c>
      <c r="W38" s="8" t="n">
        <v>0</v>
      </c>
      <c r="X38" s="8" t="n">
        <v>0</v>
      </c>
      <c r="Y38" s="8" t="n">
        <v>0</v>
      </c>
      <c r="Z38" s="8" t="n">
        <v>0</v>
      </c>
      <c r="AA38" s="8" t="n">
        <v>0</v>
      </c>
      <c r="AB38" s="8" t="n">
        <v>0</v>
      </c>
      <c r="AC38" s="8" t="n">
        <v>0</v>
      </c>
      <c r="AD38" s="8" t="n">
        <v>0</v>
      </c>
    </row>
    <row r="39" customFormat="false" ht="15" hidden="false" customHeight="false" outlineLevel="0" collapsed="false">
      <c r="A39" s="38" t="s">
        <v>1326</v>
      </c>
      <c r="B39" s="8" t="s">
        <v>1327</v>
      </c>
      <c r="C39" s="39" t="n">
        <v>962</v>
      </c>
      <c r="D39" s="40" t="n">
        <v>46051</v>
      </c>
      <c r="E39" s="8" t="n">
        <v>35</v>
      </c>
      <c r="F39" s="39" t="n">
        <v>246800</v>
      </c>
      <c r="G39" s="39" t="n">
        <v>9772</v>
      </c>
      <c r="H39" s="39" t="n">
        <v>141</v>
      </c>
      <c r="I39" s="39" t="n">
        <v>2248</v>
      </c>
      <c r="J39" s="39" t="n">
        <v>2250</v>
      </c>
      <c r="K39" s="8" t="s">
        <v>1240</v>
      </c>
      <c r="L39" s="41" t="s">
        <v>1328</v>
      </c>
      <c r="M39" s="42" t="n">
        <f aca="false">IFERROR(I39/F39,0)</f>
        <v>0.00910858995137763</v>
      </c>
      <c r="N39" s="42" t="n">
        <f aca="false">IFERROR(J39/F39,0)</f>
        <v>0.00911669367909238</v>
      </c>
      <c r="O39" s="8" t="n">
        <v>0</v>
      </c>
      <c r="P39" s="8" t="n">
        <v>0</v>
      </c>
      <c r="Q39" s="8" t="n">
        <v>0</v>
      </c>
      <c r="R39" s="8" t="n">
        <v>0</v>
      </c>
      <c r="S39" s="8" t="n">
        <v>0</v>
      </c>
      <c r="T39" s="8" t="n">
        <v>1</v>
      </c>
      <c r="U39" s="8" t="n">
        <v>0</v>
      </c>
      <c r="V39" s="8" t="n">
        <v>0</v>
      </c>
      <c r="W39" s="8" t="n">
        <v>1</v>
      </c>
      <c r="X39" s="8" t="n">
        <v>0</v>
      </c>
      <c r="Y39" s="8" t="n">
        <v>0</v>
      </c>
      <c r="Z39" s="8" t="n">
        <v>0</v>
      </c>
      <c r="AA39" s="8" t="n">
        <v>0</v>
      </c>
      <c r="AB39" s="8" t="n">
        <v>0</v>
      </c>
      <c r="AC39" s="8" t="n">
        <v>0</v>
      </c>
      <c r="AD39" s="8" t="n">
        <v>0</v>
      </c>
    </row>
    <row r="40" customFormat="false" ht="15" hidden="false" customHeight="false" outlineLevel="0" collapsed="false">
      <c r="A40" s="38" t="s">
        <v>1329</v>
      </c>
      <c r="B40" s="8" t="s">
        <v>1330</v>
      </c>
      <c r="C40" s="39" t="n">
        <v>547900</v>
      </c>
      <c r="D40" s="40" t="n">
        <v>46316</v>
      </c>
      <c r="E40" s="8" t="n">
        <v>184</v>
      </c>
      <c r="F40" s="39" t="n">
        <v>240500</v>
      </c>
      <c r="G40" s="39" t="n">
        <v>40400</v>
      </c>
      <c r="H40" s="39" t="n">
        <v>4398</v>
      </c>
      <c r="I40" s="39" t="n">
        <v>1951</v>
      </c>
      <c r="J40" s="39" t="n">
        <v>4988</v>
      </c>
      <c r="K40" s="8" t="s">
        <v>1240</v>
      </c>
      <c r="L40" s="41" t="s">
        <v>1331</v>
      </c>
      <c r="M40" s="42" t="n">
        <f aca="false">IFERROR(I40/F40,0)</f>
        <v>0.00811226611226611</v>
      </c>
      <c r="N40" s="42" t="n">
        <f aca="false">IFERROR(J40/F40,0)</f>
        <v>0.0207401247401247</v>
      </c>
      <c r="O40" s="8" t="n">
        <v>0</v>
      </c>
      <c r="P40" s="8" t="n">
        <v>0</v>
      </c>
      <c r="Q40" s="8" t="n">
        <v>0</v>
      </c>
      <c r="R40" s="8" t="n">
        <v>0</v>
      </c>
      <c r="S40" s="8" t="n">
        <v>0</v>
      </c>
      <c r="T40" s="8" t="n">
        <v>0</v>
      </c>
      <c r="U40" s="8" t="n">
        <v>0</v>
      </c>
      <c r="V40" s="8" t="n">
        <v>0</v>
      </c>
      <c r="W40" s="8" t="n">
        <v>0</v>
      </c>
      <c r="X40" s="8" t="n">
        <v>0</v>
      </c>
      <c r="Y40" s="8" t="n">
        <v>0</v>
      </c>
      <c r="Z40" s="8" t="n">
        <v>0</v>
      </c>
      <c r="AA40" s="8" t="n">
        <v>0</v>
      </c>
      <c r="AB40" s="8" t="n">
        <v>0</v>
      </c>
      <c r="AC40" s="8" t="n">
        <v>0</v>
      </c>
      <c r="AD40" s="8" t="n">
        <v>0</v>
      </c>
    </row>
    <row r="41" customFormat="false" ht="15" hidden="false" customHeight="false" outlineLevel="0" collapsed="false">
      <c r="A41" s="38" t="s">
        <v>1332</v>
      </c>
      <c r="B41" s="8" t="s">
        <v>1333</v>
      </c>
      <c r="C41" s="39" t="n">
        <v>12400</v>
      </c>
      <c r="D41" s="40" t="n">
        <v>46060</v>
      </c>
      <c r="E41" s="8" t="n">
        <v>29</v>
      </c>
      <c r="F41" s="39" t="n">
        <v>235400</v>
      </c>
      <c r="G41" s="39" t="n">
        <v>4661</v>
      </c>
      <c r="H41" s="39" t="n">
        <v>33</v>
      </c>
      <c r="I41" s="39" t="n">
        <v>1306</v>
      </c>
      <c r="J41" s="39" t="n">
        <v>830</v>
      </c>
      <c r="K41" s="8" t="s">
        <v>1240</v>
      </c>
      <c r="L41" s="41" t="s">
        <v>1334</v>
      </c>
      <c r="M41" s="42" t="n">
        <f aca="false">IFERROR(I41/F41,0)</f>
        <v>0.00554800339847069</v>
      </c>
      <c r="N41" s="42" t="n">
        <f aca="false">IFERROR(J41/F41,0)</f>
        <v>0.00352591333899745</v>
      </c>
      <c r="O41" s="8" t="n">
        <v>1</v>
      </c>
      <c r="P41" s="8" t="n">
        <v>0</v>
      </c>
      <c r="Q41" s="8" t="n">
        <v>0</v>
      </c>
      <c r="R41" s="8" t="n">
        <v>0</v>
      </c>
      <c r="S41" s="8" t="n">
        <v>0</v>
      </c>
      <c r="T41" s="8" t="n">
        <v>0</v>
      </c>
      <c r="U41" s="8" t="n">
        <v>0</v>
      </c>
      <c r="V41" s="8" t="n">
        <v>0</v>
      </c>
      <c r="W41" s="8" t="n">
        <v>0</v>
      </c>
      <c r="X41" s="8" t="n">
        <v>0</v>
      </c>
      <c r="Y41" s="8" t="n">
        <v>0</v>
      </c>
      <c r="Z41" s="8" t="n">
        <v>0</v>
      </c>
      <c r="AA41" s="8" t="n">
        <v>0</v>
      </c>
      <c r="AB41" s="8" t="n">
        <v>0</v>
      </c>
      <c r="AC41" s="8" t="n">
        <v>0</v>
      </c>
      <c r="AD41" s="8" t="n">
        <v>0</v>
      </c>
    </row>
    <row r="42" customFormat="false" ht="15" hidden="false" customHeight="false" outlineLevel="0" collapsed="false">
      <c r="A42" s="38" t="s">
        <v>1335</v>
      </c>
      <c r="B42" s="8" t="s">
        <v>1336</v>
      </c>
      <c r="C42" s="39" t="n">
        <v>17100</v>
      </c>
      <c r="D42" s="40" t="n">
        <v>46064</v>
      </c>
      <c r="E42" s="8" t="n">
        <v>38</v>
      </c>
      <c r="F42" s="39" t="n">
        <v>232700</v>
      </c>
      <c r="G42" s="39" t="n">
        <v>7866</v>
      </c>
      <c r="H42" s="39" t="n">
        <v>164</v>
      </c>
      <c r="I42" s="39" t="n">
        <v>4341</v>
      </c>
      <c r="J42" s="39" t="n">
        <v>3370</v>
      </c>
      <c r="K42" s="8" t="s">
        <v>1240</v>
      </c>
      <c r="L42" s="41" t="s">
        <v>1337</v>
      </c>
      <c r="M42" s="42" t="n">
        <f aca="false">IFERROR(I42/F42,0)</f>
        <v>0.0186549204984959</v>
      </c>
      <c r="N42" s="42" t="n">
        <f aca="false">IFERROR(J42/F42,0)</f>
        <v>0.0144821658788139</v>
      </c>
      <c r="O42" s="8" t="n">
        <v>0</v>
      </c>
      <c r="P42" s="8" t="n">
        <v>0</v>
      </c>
      <c r="Q42" s="8" t="n">
        <v>1</v>
      </c>
      <c r="R42" s="8" t="n">
        <v>1</v>
      </c>
      <c r="S42" s="8" t="n">
        <v>0</v>
      </c>
      <c r="T42" s="8" t="n">
        <v>0</v>
      </c>
      <c r="U42" s="8" t="n">
        <v>0</v>
      </c>
      <c r="V42" s="8" t="n">
        <v>0</v>
      </c>
      <c r="W42" s="8" t="n">
        <v>0</v>
      </c>
      <c r="X42" s="8" t="n">
        <v>0</v>
      </c>
      <c r="Y42" s="8" t="n">
        <v>0</v>
      </c>
      <c r="Z42" s="8" t="n">
        <v>0</v>
      </c>
      <c r="AA42" s="8" t="n">
        <v>0</v>
      </c>
      <c r="AB42" s="8" t="n">
        <v>0</v>
      </c>
      <c r="AC42" s="8" t="n">
        <v>0</v>
      </c>
      <c r="AD42" s="8" t="n">
        <v>0</v>
      </c>
    </row>
    <row r="43" customFormat="false" ht="15" hidden="false" customHeight="false" outlineLevel="0" collapsed="false">
      <c r="A43" s="38" t="s">
        <v>1338</v>
      </c>
      <c r="B43" s="8" t="s">
        <v>1339</v>
      </c>
      <c r="C43" s="39" t="n">
        <v>23700</v>
      </c>
      <c r="D43" s="40" t="n">
        <v>45953</v>
      </c>
      <c r="E43" s="8" t="n">
        <v>35</v>
      </c>
      <c r="F43" s="39" t="n">
        <v>204000</v>
      </c>
      <c r="G43" s="39" t="n">
        <v>2138</v>
      </c>
      <c r="H43" s="39" t="n">
        <v>122</v>
      </c>
      <c r="I43" s="39" t="n">
        <v>1975</v>
      </c>
      <c r="J43" s="39" t="n">
        <v>635</v>
      </c>
      <c r="K43" s="8" t="s">
        <v>1243</v>
      </c>
      <c r="L43" s="41" t="s">
        <v>1340</v>
      </c>
      <c r="M43" s="42" t="n">
        <f aca="false">IFERROR(I43/F43,0)</f>
        <v>0.00968137254901961</v>
      </c>
      <c r="N43" s="42" t="n">
        <f aca="false">IFERROR(J43/F43,0)</f>
        <v>0.00311274509803922</v>
      </c>
      <c r="O43" s="8" t="n">
        <v>1</v>
      </c>
      <c r="P43" s="8" t="n">
        <v>0</v>
      </c>
      <c r="Q43" s="8" t="n">
        <v>0</v>
      </c>
      <c r="R43" s="8" t="n">
        <v>1</v>
      </c>
      <c r="S43" s="8" t="n">
        <v>0</v>
      </c>
      <c r="T43" s="8" t="n">
        <v>0</v>
      </c>
      <c r="U43" s="8" t="n">
        <v>0</v>
      </c>
      <c r="V43" s="8" t="n">
        <v>0</v>
      </c>
      <c r="W43" s="8" t="n">
        <v>0</v>
      </c>
      <c r="X43" s="8" t="n">
        <v>1</v>
      </c>
      <c r="Y43" s="8" t="n">
        <v>0</v>
      </c>
      <c r="Z43" s="8" t="n">
        <v>0</v>
      </c>
      <c r="AA43" s="8" t="n">
        <v>0</v>
      </c>
      <c r="AB43" s="8" t="n">
        <v>0</v>
      </c>
      <c r="AC43" s="8" t="n">
        <v>0</v>
      </c>
      <c r="AD43" s="8" t="n">
        <v>0</v>
      </c>
    </row>
    <row r="44" customFormat="false" ht="15" hidden="false" customHeight="false" outlineLevel="0" collapsed="false">
      <c r="A44" s="38" t="s">
        <v>1341</v>
      </c>
      <c r="B44" s="8" t="s">
        <v>1342</v>
      </c>
      <c r="C44" s="39" t="n">
        <v>264</v>
      </c>
      <c r="D44" s="40" t="n">
        <v>46213</v>
      </c>
      <c r="E44" s="8" t="n">
        <v>30</v>
      </c>
      <c r="F44" s="39" t="n">
        <v>199400</v>
      </c>
      <c r="G44" s="39" t="n">
        <v>2226</v>
      </c>
      <c r="H44" s="39" t="n">
        <v>23</v>
      </c>
      <c r="I44" s="39" t="n">
        <v>24</v>
      </c>
      <c r="J44" s="39" t="n">
        <v>106</v>
      </c>
      <c r="K44" s="8" t="s">
        <v>1240</v>
      </c>
      <c r="L44" s="41" t="s">
        <v>1343</v>
      </c>
      <c r="M44" s="42" t="n">
        <f aca="false">IFERROR(I44/F44,0)</f>
        <v>0.000120361083249749</v>
      </c>
      <c r="N44" s="42" t="n">
        <f aca="false">IFERROR(J44/F44,0)</f>
        <v>0.000531594784353059</v>
      </c>
      <c r="O44" s="8" t="n">
        <v>0</v>
      </c>
      <c r="P44" s="8" t="n">
        <v>0</v>
      </c>
      <c r="Q44" s="8" t="n">
        <v>0</v>
      </c>
      <c r="R44" s="8" t="n">
        <v>0</v>
      </c>
      <c r="S44" s="8" t="n">
        <v>0</v>
      </c>
      <c r="T44" s="8" t="n">
        <v>0</v>
      </c>
      <c r="U44" s="8" t="n">
        <v>0</v>
      </c>
      <c r="V44" s="8" t="n">
        <v>0</v>
      </c>
      <c r="W44" s="8" t="n">
        <v>0</v>
      </c>
      <c r="X44" s="8" t="n">
        <v>0</v>
      </c>
      <c r="Y44" s="8" t="n">
        <v>0</v>
      </c>
      <c r="Z44" s="8" t="n">
        <v>0</v>
      </c>
      <c r="AA44" s="8" t="n">
        <v>0</v>
      </c>
      <c r="AB44" s="8" t="n">
        <v>0</v>
      </c>
      <c r="AC44" s="8" t="n">
        <v>0</v>
      </c>
      <c r="AD44" s="8" t="n">
        <v>0</v>
      </c>
    </row>
    <row r="45" customFormat="false" ht="15" hidden="false" customHeight="false" outlineLevel="0" collapsed="false">
      <c r="A45" s="38" t="s">
        <v>1344</v>
      </c>
      <c r="B45" s="8" t="s">
        <v>1345</v>
      </c>
      <c r="C45" s="39" t="n">
        <v>913</v>
      </c>
      <c r="D45" s="40" t="n">
        <v>45775</v>
      </c>
      <c r="E45" s="8" t="n">
        <v>9</v>
      </c>
      <c r="F45" s="39" t="n">
        <v>197300</v>
      </c>
      <c r="G45" s="39" t="n">
        <v>1407</v>
      </c>
      <c r="H45" s="39" t="n">
        <v>137</v>
      </c>
      <c r="I45" s="39" t="n">
        <v>679</v>
      </c>
      <c r="J45" s="39" t="n">
        <v>1008</v>
      </c>
      <c r="K45" s="8" t="s">
        <v>1240</v>
      </c>
      <c r="L45" s="41" t="s">
        <v>1346</v>
      </c>
      <c r="M45" s="42" t="n">
        <f aca="false">IFERROR(I45/F45,0)</f>
        <v>0.00344145970603142</v>
      </c>
      <c r="N45" s="42" t="n">
        <f aca="false">IFERROR(J45/F45,0)</f>
        <v>0.0051089711099848</v>
      </c>
      <c r="O45" s="8" t="n">
        <v>0</v>
      </c>
      <c r="P45" s="8" t="n">
        <v>0</v>
      </c>
      <c r="Q45" s="8" t="n">
        <v>0</v>
      </c>
      <c r="R45" s="8" t="n">
        <v>1</v>
      </c>
      <c r="S45" s="8" t="n">
        <v>0</v>
      </c>
      <c r="T45" s="8" t="n">
        <v>1</v>
      </c>
      <c r="U45" s="8" t="n">
        <v>0</v>
      </c>
      <c r="V45" s="8" t="n">
        <v>0</v>
      </c>
      <c r="W45" s="8" t="n">
        <v>0</v>
      </c>
      <c r="X45" s="8" t="n">
        <v>1</v>
      </c>
      <c r="Y45" s="8" t="n">
        <v>0</v>
      </c>
      <c r="Z45" s="8" t="n">
        <v>0</v>
      </c>
      <c r="AA45" s="8" t="n">
        <v>0</v>
      </c>
      <c r="AB45" s="8" t="n">
        <v>0</v>
      </c>
      <c r="AC45" s="8" t="n">
        <v>0</v>
      </c>
      <c r="AD45" s="8" t="n">
        <v>0</v>
      </c>
    </row>
    <row r="46" customFormat="false" ht="15" hidden="false" customHeight="false" outlineLevel="0" collapsed="false">
      <c r="A46" s="38" t="s">
        <v>1347</v>
      </c>
      <c r="B46" s="8" t="s">
        <v>1348</v>
      </c>
      <c r="C46" s="39" t="n">
        <v>15600</v>
      </c>
      <c r="D46" s="40" t="n">
        <v>46090</v>
      </c>
      <c r="E46" s="8" t="n">
        <v>14</v>
      </c>
      <c r="F46" s="39" t="n">
        <v>176700</v>
      </c>
      <c r="G46" s="39" t="n">
        <v>2063</v>
      </c>
      <c r="H46" s="39" t="n">
        <v>35</v>
      </c>
      <c r="I46" s="39" t="n">
        <v>727</v>
      </c>
      <c r="J46" s="39" t="n">
        <v>1453</v>
      </c>
      <c r="K46" s="8" t="s">
        <v>1240</v>
      </c>
      <c r="L46" s="41" t="s">
        <v>1349</v>
      </c>
      <c r="M46" s="42" t="n">
        <f aca="false">IFERROR(I46/F46,0)</f>
        <v>0.00411431805319751</v>
      </c>
      <c r="N46" s="42" t="n">
        <f aca="false">IFERROR(J46/F46,0)</f>
        <v>0.00822297679683079</v>
      </c>
      <c r="O46" s="8" t="n">
        <v>0</v>
      </c>
      <c r="P46" s="8" t="n">
        <v>0</v>
      </c>
      <c r="Q46" s="8" t="n">
        <v>0</v>
      </c>
      <c r="R46" s="8" t="n">
        <v>0</v>
      </c>
      <c r="S46" s="8" t="n">
        <v>0</v>
      </c>
      <c r="T46" s="8" t="n">
        <v>1</v>
      </c>
      <c r="U46" s="8" t="n">
        <v>0</v>
      </c>
      <c r="V46" s="8" t="n">
        <v>0</v>
      </c>
      <c r="W46" s="8" t="n">
        <v>0</v>
      </c>
      <c r="X46" s="8" t="n">
        <v>1</v>
      </c>
      <c r="Y46" s="8" t="n">
        <v>0</v>
      </c>
      <c r="Z46" s="8" t="n">
        <v>0</v>
      </c>
      <c r="AA46" s="8" t="n">
        <v>0</v>
      </c>
      <c r="AB46" s="8" t="n">
        <v>0</v>
      </c>
      <c r="AC46" s="8" t="n">
        <v>0</v>
      </c>
      <c r="AD46" s="8" t="n">
        <v>0</v>
      </c>
    </row>
    <row r="47" customFormat="false" ht="15" hidden="false" customHeight="false" outlineLevel="0" collapsed="false">
      <c r="A47" s="38" t="s">
        <v>1350</v>
      </c>
      <c r="B47" s="8" t="s">
        <v>1258</v>
      </c>
      <c r="C47" s="39" t="n">
        <v>12100</v>
      </c>
      <c r="D47" s="40" t="n">
        <v>46198</v>
      </c>
      <c r="E47" s="8" t="n">
        <v>17</v>
      </c>
      <c r="F47" s="39" t="n">
        <v>173400</v>
      </c>
      <c r="G47" s="39" t="n">
        <v>3223</v>
      </c>
      <c r="H47" s="39" t="n">
        <v>49</v>
      </c>
      <c r="I47" s="39" t="n">
        <v>1336</v>
      </c>
      <c r="J47" s="39" t="n">
        <v>1377</v>
      </c>
      <c r="K47" s="8" t="s">
        <v>1240</v>
      </c>
      <c r="L47" s="41" t="s">
        <v>1351</v>
      </c>
      <c r="M47" s="42" t="n">
        <f aca="false">IFERROR(I47/F47,0)</f>
        <v>0.00770472895040369</v>
      </c>
      <c r="N47" s="42" t="n">
        <f aca="false">IFERROR(J47/F47,0)</f>
        <v>0.00794117647058823</v>
      </c>
      <c r="O47" s="8" t="n">
        <v>0</v>
      </c>
      <c r="P47" s="8" t="n">
        <v>0</v>
      </c>
      <c r="Q47" s="8" t="n">
        <v>0</v>
      </c>
      <c r="R47" s="8" t="n">
        <v>0</v>
      </c>
      <c r="S47" s="8" t="n">
        <v>0</v>
      </c>
      <c r="T47" s="8" t="n">
        <v>1</v>
      </c>
      <c r="U47" s="8" t="n">
        <v>0</v>
      </c>
      <c r="V47" s="8" t="n">
        <v>0</v>
      </c>
      <c r="W47" s="8" t="n">
        <v>0</v>
      </c>
      <c r="X47" s="8" t="n">
        <v>1</v>
      </c>
      <c r="Y47" s="8" t="n">
        <v>0</v>
      </c>
      <c r="Z47" s="8" t="n">
        <v>0</v>
      </c>
      <c r="AA47" s="8" t="n">
        <v>0</v>
      </c>
      <c r="AB47" s="8" t="n">
        <v>0</v>
      </c>
      <c r="AC47" s="8" t="n">
        <v>0</v>
      </c>
      <c r="AD47" s="8" t="n">
        <v>0</v>
      </c>
    </row>
    <row r="48" customFormat="false" ht="15" hidden="false" customHeight="false" outlineLevel="0" collapsed="false">
      <c r="A48" s="38" t="s">
        <v>1352</v>
      </c>
      <c r="B48" s="8" t="s">
        <v>1353</v>
      </c>
      <c r="C48" s="39" t="n">
        <v>12900</v>
      </c>
      <c r="D48" s="40" t="n">
        <v>45717</v>
      </c>
      <c r="E48" s="8" t="n">
        <v>41</v>
      </c>
      <c r="F48" s="39" t="n">
        <v>161600</v>
      </c>
      <c r="G48" s="39" t="n">
        <v>2159</v>
      </c>
      <c r="H48" s="39" t="n">
        <v>106</v>
      </c>
      <c r="I48" s="39" t="n">
        <v>1651</v>
      </c>
      <c r="J48" s="39" t="n">
        <v>423</v>
      </c>
      <c r="K48" s="8" t="s">
        <v>1243</v>
      </c>
      <c r="L48" s="41" t="s">
        <v>1354</v>
      </c>
      <c r="M48" s="42" t="n">
        <f aca="false">IFERROR(I48/F48,0)</f>
        <v>0.0102165841584158</v>
      </c>
      <c r="N48" s="42" t="n">
        <f aca="false">IFERROR(J48/F48,0)</f>
        <v>0.00261757425742574</v>
      </c>
      <c r="O48" s="8" t="n">
        <v>0</v>
      </c>
      <c r="P48" s="8" t="n">
        <v>1</v>
      </c>
      <c r="Q48" s="8" t="n">
        <v>0</v>
      </c>
      <c r="R48" s="8" t="n">
        <v>0</v>
      </c>
      <c r="S48" s="8" t="n">
        <v>0</v>
      </c>
      <c r="T48" s="8" t="n">
        <v>0</v>
      </c>
      <c r="U48" s="8" t="n">
        <v>0</v>
      </c>
      <c r="V48" s="8" t="n">
        <v>0</v>
      </c>
      <c r="W48" s="8" t="n">
        <v>0</v>
      </c>
      <c r="X48" s="8" t="n">
        <v>0</v>
      </c>
      <c r="Y48" s="8" t="n">
        <v>1</v>
      </c>
      <c r="Z48" s="8" t="n">
        <v>0</v>
      </c>
      <c r="AA48" s="8" t="n">
        <v>0</v>
      </c>
      <c r="AB48" s="8" t="n">
        <v>0</v>
      </c>
      <c r="AC48" s="8" t="n">
        <v>0</v>
      </c>
      <c r="AD48" s="8" t="n">
        <v>0</v>
      </c>
    </row>
    <row r="49" customFormat="false" ht="15" hidden="false" customHeight="false" outlineLevel="0" collapsed="false">
      <c r="A49" s="38" t="s">
        <v>1355</v>
      </c>
      <c r="B49" s="8" t="s">
        <v>1356</v>
      </c>
      <c r="C49" s="39" t="n">
        <v>496</v>
      </c>
      <c r="D49" s="40" t="n">
        <v>46078</v>
      </c>
      <c r="E49" s="8" t="n">
        <v>23</v>
      </c>
      <c r="F49" s="39" t="n">
        <v>153700</v>
      </c>
      <c r="G49" s="39" t="n">
        <v>1342</v>
      </c>
      <c r="H49" s="39" t="n">
        <v>21</v>
      </c>
      <c r="I49" s="39" t="n">
        <v>1141</v>
      </c>
      <c r="J49" s="39" t="n">
        <v>952</v>
      </c>
      <c r="K49" s="8" t="s">
        <v>1243</v>
      </c>
      <c r="L49" s="41" t="s">
        <v>1357</v>
      </c>
      <c r="M49" s="42" t="n">
        <f aca="false">IFERROR(I49/F49,0)</f>
        <v>0.00742355237475602</v>
      </c>
      <c r="N49" s="42" t="n">
        <f aca="false">IFERROR(J49/F49,0)</f>
        <v>0.00619388418998048</v>
      </c>
      <c r="O49" s="8" t="n">
        <v>0</v>
      </c>
      <c r="P49" s="8" t="n">
        <v>1</v>
      </c>
      <c r="Q49" s="8" t="n">
        <v>0</v>
      </c>
      <c r="R49" s="8" t="n">
        <v>0</v>
      </c>
      <c r="S49" s="8" t="n">
        <v>0</v>
      </c>
      <c r="T49" s="8" t="n">
        <v>0</v>
      </c>
      <c r="U49" s="8" t="n">
        <v>0</v>
      </c>
      <c r="V49" s="8" t="n">
        <v>0</v>
      </c>
      <c r="W49" s="8" t="n">
        <v>0</v>
      </c>
      <c r="X49" s="8" t="n">
        <v>0</v>
      </c>
      <c r="Y49" s="8" t="n">
        <v>0</v>
      </c>
      <c r="Z49" s="8" t="n">
        <v>0</v>
      </c>
      <c r="AA49" s="8" t="n">
        <v>0</v>
      </c>
      <c r="AB49" s="8" t="n">
        <v>0</v>
      </c>
      <c r="AC49" s="8" t="n">
        <v>0</v>
      </c>
      <c r="AD49" s="8" t="n">
        <v>0</v>
      </c>
    </row>
    <row r="50" customFormat="false" ht="15" hidden="false" customHeight="false" outlineLevel="0" collapsed="false">
      <c r="A50" s="38" t="s">
        <v>1358</v>
      </c>
      <c r="B50" s="8" t="s">
        <v>1359</v>
      </c>
      <c r="C50" s="39" t="n">
        <v>7158</v>
      </c>
      <c r="D50" s="40" t="n">
        <v>46190</v>
      </c>
      <c r="E50" s="8" t="n">
        <v>15</v>
      </c>
      <c r="F50" s="39" t="n">
        <v>149300</v>
      </c>
      <c r="G50" s="39" t="n">
        <v>2847</v>
      </c>
      <c r="H50" s="39" t="n">
        <v>19</v>
      </c>
      <c r="I50" s="39" t="n">
        <v>123</v>
      </c>
      <c r="J50" s="39" t="n">
        <v>339</v>
      </c>
      <c r="K50" s="8" t="s">
        <v>1243</v>
      </c>
      <c r="L50" s="41" t="s">
        <v>1360</v>
      </c>
      <c r="M50" s="42" t="n">
        <f aca="false">IFERROR(I50/F50,0)</f>
        <v>0.000823844608171467</v>
      </c>
      <c r="N50" s="42" t="n">
        <f aca="false">IFERROR(J50/F50,0)</f>
        <v>0.00227059611520429</v>
      </c>
      <c r="O50" s="8" t="n">
        <v>0</v>
      </c>
      <c r="P50" s="8" t="n">
        <v>1</v>
      </c>
      <c r="Q50" s="8" t="n">
        <v>0</v>
      </c>
      <c r="R50" s="8" t="n">
        <v>0</v>
      </c>
      <c r="S50" s="8" t="n">
        <v>0</v>
      </c>
      <c r="T50" s="8" t="n">
        <v>0</v>
      </c>
      <c r="U50" s="8" t="n">
        <v>0</v>
      </c>
      <c r="V50" s="8" t="n">
        <v>0</v>
      </c>
      <c r="W50" s="8" t="n">
        <v>0</v>
      </c>
      <c r="X50" s="8" t="n">
        <v>0</v>
      </c>
      <c r="Y50" s="8" t="n">
        <v>0</v>
      </c>
      <c r="Z50" s="8" t="n">
        <v>0</v>
      </c>
      <c r="AA50" s="8" t="n">
        <v>0</v>
      </c>
      <c r="AB50" s="8" t="n">
        <v>0</v>
      </c>
      <c r="AC50" s="8" t="n">
        <v>0</v>
      </c>
      <c r="AD50" s="8" t="n">
        <v>0</v>
      </c>
    </row>
    <row r="51" customFormat="false" ht="15" hidden="false" customHeight="false" outlineLevel="0" collapsed="false">
      <c r="A51" s="38" t="s">
        <v>1361</v>
      </c>
      <c r="B51" s="8" t="s">
        <v>1362</v>
      </c>
      <c r="C51" s="39" t="n">
        <v>436</v>
      </c>
      <c r="D51" s="40" t="n">
        <v>46268</v>
      </c>
      <c r="E51" s="8" t="n">
        <v>13</v>
      </c>
      <c r="F51" s="39" t="n">
        <v>145700</v>
      </c>
      <c r="G51" s="39" t="n">
        <v>3071</v>
      </c>
      <c r="H51" s="39" t="n">
        <v>7</v>
      </c>
      <c r="I51" s="39" t="n">
        <v>824</v>
      </c>
      <c r="J51" s="39" t="n">
        <v>664</v>
      </c>
      <c r="K51" s="8" t="s">
        <v>1243</v>
      </c>
      <c r="L51" s="41" t="s">
        <v>1363</v>
      </c>
      <c r="M51" s="42" t="n">
        <f aca="false">IFERROR(I51/F51,0)</f>
        <v>0.00565545641729581</v>
      </c>
      <c r="N51" s="42" t="n">
        <f aca="false">IFERROR(J51/F51,0)</f>
        <v>0.004557309540151</v>
      </c>
      <c r="O51" s="8" t="n">
        <v>0</v>
      </c>
      <c r="P51" s="8" t="n">
        <v>0</v>
      </c>
      <c r="Q51" s="8" t="n">
        <v>1</v>
      </c>
      <c r="R51" s="8" t="n">
        <v>1</v>
      </c>
      <c r="S51" s="8" t="n">
        <v>0</v>
      </c>
      <c r="T51" s="8" t="n">
        <v>0</v>
      </c>
      <c r="U51" s="8" t="n">
        <v>0</v>
      </c>
      <c r="V51" s="8" t="n">
        <v>0</v>
      </c>
      <c r="W51" s="8" t="n">
        <v>0</v>
      </c>
      <c r="X51" s="8" t="n">
        <v>0</v>
      </c>
      <c r="Y51" s="8" t="n">
        <v>0</v>
      </c>
      <c r="Z51" s="8" t="n">
        <v>0</v>
      </c>
      <c r="AA51" s="8" t="n">
        <v>0</v>
      </c>
      <c r="AB51" s="8" t="n">
        <v>0</v>
      </c>
      <c r="AC51" s="8" t="n">
        <v>0</v>
      </c>
      <c r="AD51" s="8" t="n">
        <v>0</v>
      </c>
    </row>
    <row r="52" customFormat="false" ht="15" hidden="false" customHeight="false" outlineLevel="0" collapsed="false">
      <c r="A52" s="38" t="s">
        <v>1364</v>
      </c>
      <c r="B52" s="8" t="s">
        <v>1365</v>
      </c>
      <c r="C52" s="39" t="n">
        <v>2018</v>
      </c>
      <c r="D52" s="40" t="n">
        <v>46029</v>
      </c>
      <c r="E52" s="8" t="n">
        <v>13</v>
      </c>
      <c r="F52" s="39" t="n">
        <v>144700</v>
      </c>
      <c r="G52" s="39" t="n">
        <v>1288</v>
      </c>
      <c r="H52" s="39" t="n">
        <v>69</v>
      </c>
      <c r="I52" s="39" t="n">
        <v>271</v>
      </c>
      <c r="J52" s="39" t="n">
        <v>686</v>
      </c>
      <c r="K52" s="8" t="s">
        <v>1240</v>
      </c>
      <c r="L52" s="41" t="s">
        <v>1366</v>
      </c>
      <c r="M52" s="42" t="n">
        <f aca="false">IFERROR(I52/F52,0)</f>
        <v>0.0018728403593642</v>
      </c>
      <c r="N52" s="42" t="n">
        <f aca="false">IFERROR(J52/F52,0)</f>
        <v>0.00474084312370422</v>
      </c>
      <c r="O52" s="8" t="n">
        <v>0</v>
      </c>
      <c r="P52" s="8" t="n">
        <v>0</v>
      </c>
      <c r="Q52" s="8" t="n">
        <v>0</v>
      </c>
      <c r="R52" s="8" t="n">
        <v>0</v>
      </c>
      <c r="S52" s="8" t="n">
        <v>0</v>
      </c>
      <c r="T52" s="8" t="n">
        <v>1</v>
      </c>
      <c r="U52" s="8" t="n">
        <v>0</v>
      </c>
      <c r="V52" s="8" t="n">
        <v>0</v>
      </c>
      <c r="W52" s="8" t="n">
        <v>0</v>
      </c>
      <c r="X52" s="8" t="n">
        <v>1</v>
      </c>
      <c r="Y52" s="8" t="n">
        <v>0</v>
      </c>
      <c r="Z52" s="8" t="n">
        <v>0</v>
      </c>
      <c r="AA52" s="8" t="n">
        <v>0</v>
      </c>
      <c r="AB52" s="8" t="n">
        <v>0</v>
      </c>
      <c r="AC52" s="8" t="n">
        <v>0</v>
      </c>
      <c r="AD52" s="8" t="n">
        <v>0</v>
      </c>
    </row>
    <row r="53" customFormat="false" ht="15" hidden="false" customHeight="false" outlineLevel="0" collapsed="false">
      <c r="A53" s="38" t="s">
        <v>1367</v>
      </c>
      <c r="B53" s="8" t="s">
        <v>1368</v>
      </c>
      <c r="C53" s="39" t="n">
        <v>39700</v>
      </c>
      <c r="D53" s="40" t="n">
        <v>46076</v>
      </c>
      <c r="E53" s="8" t="n">
        <v>19</v>
      </c>
      <c r="F53" s="39" t="n">
        <v>143100</v>
      </c>
      <c r="G53" s="39" t="n">
        <v>1769</v>
      </c>
      <c r="H53" s="39" t="n">
        <v>29</v>
      </c>
      <c r="I53" s="39" t="n">
        <v>1369</v>
      </c>
      <c r="J53" s="39" t="n">
        <v>1490</v>
      </c>
      <c r="K53" s="8" t="s">
        <v>1240</v>
      </c>
      <c r="L53" s="41" t="s">
        <v>1369</v>
      </c>
      <c r="M53" s="42" t="n">
        <f aca="false">IFERROR(I53/F53,0)</f>
        <v>0.00956673654786862</v>
      </c>
      <c r="N53" s="42" t="n">
        <f aca="false">IFERROR(J53/F53,0)</f>
        <v>0.0104122990915444</v>
      </c>
      <c r="O53" s="8" t="n">
        <v>0</v>
      </c>
      <c r="P53" s="8" t="n">
        <v>0</v>
      </c>
      <c r="Q53" s="8" t="n">
        <v>0</v>
      </c>
      <c r="R53" s="8" t="n">
        <v>0</v>
      </c>
      <c r="S53" s="8" t="n">
        <v>0</v>
      </c>
      <c r="T53" s="8" t="n">
        <v>1</v>
      </c>
      <c r="U53" s="8" t="n">
        <v>0</v>
      </c>
      <c r="V53" s="8" t="n">
        <v>0</v>
      </c>
      <c r="W53" s="8" t="n">
        <v>0</v>
      </c>
      <c r="X53" s="8" t="n">
        <v>1</v>
      </c>
      <c r="Y53" s="8" t="n">
        <v>0</v>
      </c>
      <c r="Z53" s="8" t="n">
        <v>0</v>
      </c>
      <c r="AA53" s="8" t="n">
        <v>0</v>
      </c>
      <c r="AB53" s="8" t="n">
        <v>0</v>
      </c>
      <c r="AC53" s="8" t="n">
        <v>0</v>
      </c>
      <c r="AD53" s="8" t="n">
        <v>0</v>
      </c>
    </row>
    <row r="54" customFormat="false" ht="15" hidden="false" customHeight="false" outlineLevel="0" collapsed="false">
      <c r="A54" s="38" t="s">
        <v>1370</v>
      </c>
      <c r="B54" s="8" t="s">
        <v>1339</v>
      </c>
      <c r="C54" s="39" t="n">
        <v>23700</v>
      </c>
      <c r="D54" s="40" t="n">
        <v>45958</v>
      </c>
      <c r="E54" s="8" t="n">
        <v>22</v>
      </c>
      <c r="F54" s="39" t="n">
        <v>140600</v>
      </c>
      <c r="G54" s="39" t="n">
        <v>2319</v>
      </c>
      <c r="H54" s="39" t="n">
        <v>175</v>
      </c>
      <c r="I54" s="39" t="n">
        <v>1242</v>
      </c>
      <c r="J54" s="39" t="n">
        <v>831</v>
      </c>
      <c r="K54" s="8" t="s">
        <v>1243</v>
      </c>
      <c r="L54" s="41" t="s">
        <v>1371</v>
      </c>
      <c r="M54" s="42" t="n">
        <f aca="false">IFERROR(I54/F54,0)</f>
        <v>0.00883357041251778</v>
      </c>
      <c r="N54" s="42" t="n">
        <f aca="false">IFERROR(J54/F54,0)</f>
        <v>0.00591038406827881</v>
      </c>
      <c r="O54" s="8" t="n">
        <v>1</v>
      </c>
      <c r="P54" s="8" t="n">
        <v>0</v>
      </c>
      <c r="Q54" s="8" t="n">
        <v>0</v>
      </c>
      <c r="R54" s="8" t="n">
        <v>1</v>
      </c>
      <c r="S54" s="8" t="n">
        <v>0</v>
      </c>
      <c r="T54" s="8" t="n">
        <v>0</v>
      </c>
      <c r="U54" s="8" t="n">
        <v>0</v>
      </c>
      <c r="V54" s="8" t="n">
        <v>0</v>
      </c>
      <c r="W54" s="8" t="n">
        <v>0</v>
      </c>
      <c r="X54" s="8" t="n">
        <v>1</v>
      </c>
      <c r="Y54" s="8" t="n">
        <v>0</v>
      </c>
      <c r="Z54" s="8" t="n">
        <v>0</v>
      </c>
      <c r="AA54" s="8" t="n">
        <v>0</v>
      </c>
      <c r="AB54" s="8" t="n">
        <v>0</v>
      </c>
      <c r="AC54" s="8" t="n">
        <v>0</v>
      </c>
      <c r="AD54" s="8" t="n">
        <v>0</v>
      </c>
    </row>
    <row r="55" customFormat="false" ht="15" hidden="false" customHeight="false" outlineLevel="0" collapsed="false">
      <c r="A55" s="38" t="s">
        <v>1372</v>
      </c>
      <c r="B55" s="8" t="s">
        <v>1373</v>
      </c>
      <c r="C55" s="39" t="n">
        <v>164300</v>
      </c>
      <c r="D55" s="40" t="n">
        <v>46315</v>
      </c>
      <c r="E55" s="8" t="n">
        <v>51</v>
      </c>
      <c r="F55" s="39" t="n">
        <v>137700</v>
      </c>
      <c r="G55" s="39" t="n">
        <v>7449</v>
      </c>
      <c r="H55" s="39" t="n">
        <v>0</v>
      </c>
      <c r="I55" s="39" t="n">
        <v>445</v>
      </c>
      <c r="J55" s="39" t="n">
        <v>1177</v>
      </c>
      <c r="K55" s="8" t="s">
        <v>1240</v>
      </c>
      <c r="L55" s="41" t="s">
        <v>1374</v>
      </c>
      <c r="M55" s="42" t="n">
        <f aca="false">IFERROR(I55/F55,0)</f>
        <v>0.0032316630355846</v>
      </c>
      <c r="N55" s="42" t="n">
        <f aca="false">IFERROR(J55/F55,0)</f>
        <v>0.00854756717501816</v>
      </c>
      <c r="O55" s="8" t="n">
        <v>0</v>
      </c>
      <c r="P55" s="8" t="n">
        <v>0</v>
      </c>
      <c r="Q55" s="8" t="n">
        <v>1</v>
      </c>
      <c r="R55" s="8" t="n">
        <v>0</v>
      </c>
      <c r="S55" s="8" t="n">
        <v>0</v>
      </c>
      <c r="T55" s="8" t="n">
        <v>0</v>
      </c>
      <c r="U55" s="8" t="n">
        <v>0</v>
      </c>
      <c r="V55" s="8" t="n">
        <v>0</v>
      </c>
      <c r="W55" s="8" t="n">
        <v>0</v>
      </c>
      <c r="X55" s="8" t="n">
        <v>0</v>
      </c>
      <c r="Y55" s="8" t="n">
        <v>0</v>
      </c>
      <c r="Z55" s="8" t="n">
        <v>0</v>
      </c>
      <c r="AA55" s="8" t="n">
        <v>0</v>
      </c>
      <c r="AB55" s="8" t="n">
        <v>0</v>
      </c>
      <c r="AC55" s="8" t="n">
        <v>0</v>
      </c>
      <c r="AD55" s="8" t="n">
        <v>0</v>
      </c>
    </row>
    <row r="56" customFormat="false" ht="15" hidden="false" customHeight="false" outlineLevel="0" collapsed="false">
      <c r="A56" s="38" t="s">
        <v>1375</v>
      </c>
      <c r="B56" s="8" t="s">
        <v>1376</v>
      </c>
      <c r="C56" s="39" t="n">
        <v>20700</v>
      </c>
      <c r="D56" s="40" t="n">
        <v>45948</v>
      </c>
      <c r="E56" s="8" t="n">
        <v>35</v>
      </c>
      <c r="F56" s="39" t="n">
        <v>134600</v>
      </c>
      <c r="G56" s="39" t="n">
        <v>1315</v>
      </c>
      <c r="H56" s="39" t="n">
        <v>67</v>
      </c>
      <c r="I56" s="39" t="n">
        <v>701</v>
      </c>
      <c r="J56" s="39" t="n">
        <v>276</v>
      </c>
      <c r="K56" s="8" t="s">
        <v>1243</v>
      </c>
      <c r="L56" s="41" t="s">
        <v>1377</v>
      </c>
      <c r="M56" s="42" t="n">
        <f aca="false">IFERROR(I56/F56,0)</f>
        <v>0.00520802377414562</v>
      </c>
      <c r="N56" s="42" t="n">
        <f aca="false">IFERROR(J56/F56,0)</f>
        <v>0.00205052005943536</v>
      </c>
      <c r="O56" s="8" t="n">
        <v>1</v>
      </c>
      <c r="P56" s="8" t="n">
        <v>0</v>
      </c>
      <c r="Q56" s="8" t="n">
        <v>0</v>
      </c>
      <c r="R56" s="8" t="n">
        <v>1</v>
      </c>
      <c r="S56" s="8" t="n">
        <v>0</v>
      </c>
      <c r="T56" s="8" t="n">
        <v>0</v>
      </c>
      <c r="U56" s="8" t="n">
        <v>0</v>
      </c>
      <c r="V56" s="8" t="n">
        <v>0</v>
      </c>
      <c r="W56" s="8" t="n">
        <v>0</v>
      </c>
      <c r="X56" s="8" t="n">
        <v>0</v>
      </c>
      <c r="Y56" s="8" t="n">
        <v>0</v>
      </c>
      <c r="Z56" s="8" t="n">
        <v>0</v>
      </c>
      <c r="AA56" s="8" t="n">
        <v>0</v>
      </c>
      <c r="AB56" s="8" t="n">
        <v>0</v>
      </c>
      <c r="AC56" s="8" t="n">
        <v>0</v>
      </c>
      <c r="AD56" s="8" t="n">
        <v>0</v>
      </c>
    </row>
    <row r="57" customFormat="false" ht="15" hidden="false" customHeight="false" outlineLevel="0" collapsed="false">
      <c r="A57" s="38" t="s">
        <v>1378</v>
      </c>
      <c r="B57" s="8" t="s">
        <v>1379</v>
      </c>
      <c r="C57" s="39" t="n">
        <v>16900</v>
      </c>
      <c r="D57" s="40" t="n">
        <v>46151</v>
      </c>
      <c r="E57" s="8" t="n">
        <v>87</v>
      </c>
      <c r="F57" s="39" t="n">
        <v>133600</v>
      </c>
      <c r="G57" s="39" t="n">
        <v>5212</v>
      </c>
      <c r="H57" s="39" t="n">
        <v>188</v>
      </c>
      <c r="I57" s="39" t="n">
        <v>1429</v>
      </c>
      <c r="J57" s="39" t="n">
        <v>1146</v>
      </c>
      <c r="K57" s="8" t="s">
        <v>1240</v>
      </c>
      <c r="L57" s="41" t="s">
        <v>1380</v>
      </c>
      <c r="M57" s="42" t="n">
        <f aca="false">IFERROR(I57/F57,0)</f>
        <v>0.0106961077844311</v>
      </c>
      <c r="N57" s="42" t="n">
        <f aca="false">IFERROR(J57/F57,0)</f>
        <v>0.00857784431137725</v>
      </c>
      <c r="O57" s="8" t="n">
        <v>0</v>
      </c>
      <c r="P57" s="8" t="n">
        <v>1</v>
      </c>
      <c r="Q57" s="8" t="n">
        <v>0</v>
      </c>
      <c r="R57" s="8" t="n">
        <v>0</v>
      </c>
      <c r="S57" s="8" t="n">
        <v>0</v>
      </c>
      <c r="T57" s="8" t="n">
        <v>0</v>
      </c>
      <c r="U57" s="8" t="n">
        <v>0</v>
      </c>
      <c r="V57" s="8" t="n">
        <v>0</v>
      </c>
      <c r="W57" s="8" t="n">
        <v>0</v>
      </c>
      <c r="X57" s="8" t="n">
        <v>0</v>
      </c>
      <c r="Y57" s="8" t="n">
        <v>0</v>
      </c>
      <c r="Z57" s="8" t="n">
        <v>0</v>
      </c>
      <c r="AA57" s="8" t="n">
        <v>0</v>
      </c>
      <c r="AB57" s="8" t="n">
        <v>0</v>
      </c>
      <c r="AC57" s="8" t="n">
        <v>0</v>
      </c>
      <c r="AD57" s="8" t="n">
        <v>0</v>
      </c>
    </row>
    <row r="58" customFormat="false" ht="15" hidden="false" customHeight="false" outlineLevel="0" collapsed="false">
      <c r="A58" s="38" t="s">
        <v>1381</v>
      </c>
      <c r="B58" s="8" t="s">
        <v>1353</v>
      </c>
      <c r="C58" s="39" t="n">
        <v>12900</v>
      </c>
      <c r="D58" s="40" t="n">
        <v>45814</v>
      </c>
      <c r="E58" s="8" t="n">
        <v>20</v>
      </c>
      <c r="F58" s="39" t="n">
        <v>130500</v>
      </c>
      <c r="G58" s="39" t="n">
        <v>881</v>
      </c>
      <c r="H58" s="39" t="n">
        <v>25</v>
      </c>
      <c r="I58" s="39" t="n">
        <v>444</v>
      </c>
      <c r="J58" s="39" t="n">
        <v>246</v>
      </c>
      <c r="K58" s="8" t="s">
        <v>1243</v>
      </c>
      <c r="L58" s="41" t="s">
        <v>1382</v>
      </c>
      <c r="M58" s="42" t="n">
        <f aca="false">IFERROR(I58/F58,0)</f>
        <v>0.00340229885057471</v>
      </c>
      <c r="N58" s="42" t="n">
        <f aca="false">IFERROR(J58/F58,0)</f>
        <v>0.00188505747126437</v>
      </c>
      <c r="O58" s="8" t="n">
        <v>1</v>
      </c>
      <c r="P58" s="8" t="n">
        <v>0</v>
      </c>
      <c r="Q58" s="8" t="n">
        <v>0</v>
      </c>
      <c r="R58" s="8" t="n">
        <v>0</v>
      </c>
      <c r="S58" s="8" t="n">
        <v>0</v>
      </c>
      <c r="T58" s="8" t="n">
        <v>0</v>
      </c>
      <c r="U58" s="8" t="n">
        <v>0</v>
      </c>
      <c r="V58" s="8" t="n">
        <v>0</v>
      </c>
      <c r="W58" s="8" t="n">
        <v>0</v>
      </c>
      <c r="X58" s="8" t="n">
        <v>1</v>
      </c>
      <c r="Y58" s="8" t="n">
        <v>1</v>
      </c>
      <c r="Z58" s="8" t="n">
        <v>0</v>
      </c>
      <c r="AA58" s="8" t="n">
        <v>0</v>
      </c>
      <c r="AB58" s="8" t="n">
        <v>0</v>
      </c>
      <c r="AC58" s="8" t="n">
        <v>0</v>
      </c>
      <c r="AD58" s="8" t="n">
        <v>0</v>
      </c>
    </row>
    <row r="59" customFormat="false" ht="15" hidden="false" customHeight="false" outlineLevel="0" collapsed="false">
      <c r="A59" s="38" t="s">
        <v>1383</v>
      </c>
      <c r="B59" s="8" t="s">
        <v>1384</v>
      </c>
      <c r="C59" s="39" t="n">
        <v>3579</v>
      </c>
      <c r="D59" s="40" t="n">
        <v>46162</v>
      </c>
      <c r="E59" s="8" t="n">
        <v>45</v>
      </c>
      <c r="F59" s="39" t="n">
        <v>127000</v>
      </c>
      <c r="G59" s="39" t="n">
        <v>12200</v>
      </c>
      <c r="H59" s="39" t="n">
        <v>228</v>
      </c>
      <c r="I59" s="39" t="n">
        <v>1131</v>
      </c>
      <c r="J59" s="39" t="n">
        <v>2467</v>
      </c>
      <c r="K59" s="8" t="s">
        <v>1240</v>
      </c>
      <c r="L59" s="41" t="s">
        <v>1385</v>
      </c>
      <c r="M59" s="42" t="n">
        <f aca="false">IFERROR(I59/F59,0)</f>
        <v>0.00890551181102362</v>
      </c>
      <c r="N59" s="42" t="n">
        <f aca="false">IFERROR(J59/F59,0)</f>
        <v>0.0194251968503937</v>
      </c>
      <c r="O59" s="8" t="n">
        <v>0</v>
      </c>
      <c r="P59" s="8" t="n">
        <v>0</v>
      </c>
      <c r="Q59" s="8" t="n">
        <v>0</v>
      </c>
      <c r="R59" s="8" t="n">
        <v>0</v>
      </c>
      <c r="S59" s="8" t="n">
        <v>0</v>
      </c>
      <c r="T59" s="8" t="n">
        <v>0</v>
      </c>
      <c r="U59" s="8" t="n">
        <v>0</v>
      </c>
      <c r="V59" s="8" t="n">
        <v>0</v>
      </c>
      <c r="W59" s="8" t="n">
        <v>0</v>
      </c>
      <c r="X59" s="8" t="n">
        <v>0</v>
      </c>
      <c r="Y59" s="8" t="n">
        <v>0</v>
      </c>
      <c r="Z59" s="8" t="n">
        <v>0</v>
      </c>
      <c r="AA59" s="8" t="n">
        <v>0</v>
      </c>
      <c r="AB59" s="8" t="n">
        <v>0</v>
      </c>
      <c r="AC59" s="8" t="n">
        <v>0</v>
      </c>
      <c r="AD59" s="8" t="n">
        <v>0</v>
      </c>
    </row>
    <row r="60" customFormat="false" ht="15" hidden="false" customHeight="false" outlineLevel="0" collapsed="false">
      <c r="A60" s="38" t="s">
        <v>1386</v>
      </c>
      <c r="B60" s="8" t="s">
        <v>1387</v>
      </c>
      <c r="C60" s="39" t="n">
        <v>9825</v>
      </c>
      <c r="D60" s="40" t="n">
        <v>45798</v>
      </c>
      <c r="E60" s="8" t="n">
        <v>14</v>
      </c>
      <c r="F60" s="39" t="n">
        <v>124100</v>
      </c>
      <c r="G60" s="39" t="n">
        <v>1027</v>
      </c>
      <c r="H60" s="39" t="n">
        <v>31</v>
      </c>
      <c r="I60" s="39" t="n">
        <v>577</v>
      </c>
      <c r="J60" s="39" t="n">
        <v>733</v>
      </c>
      <c r="K60" s="8" t="s">
        <v>1240</v>
      </c>
      <c r="L60" s="41" t="s">
        <v>1388</v>
      </c>
      <c r="M60" s="42" t="n">
        <f aca="false">IFERROR(I60/F60,0)</f>
        <v>0.0046494762288477</v>
      </c>
      <c r="N60" s="42" t="n">
        <f aca="false">IFERROR(J60/F60,0)</f>
        <v>0.00590652699435939</v>
      </c>
      <c r="O60" s="8" t="n">
        <v>0</v>
      </c>
      <c r="P60" s="8" t="n">
        <v>0</v>
      </c>
      <c r="Q60" s="8" t="n">
        <v>0</v>
      </c>
      <c r="R60" s="8" t="n">
        <v>0</v>
      </c>
      <c r="S60" s="8" t="n">
        <v>0</v>
      </c>
      <c r="T60" s="8" t="n">
        <v>1</v>
      </c>
      <c r="U60" s="8" t="n">
        <v>0</v>
      </c>
      <c r="V60" s="8" t="n">
        <v>0</v>
      </c>
      <c r="W60" s="8" t="n">
        <v>0</v>
      </c>
      <c r="X60" s="8" t="n">
        <v>1</v>
      </c>
      <c r="Y60" s="8" t="n">
        <v>0</v>
      </c>
      <c r="Z60" s="8" t="n">
        <v>0</v>
      </c>
      <c r="AA60" s="8" t="n">
        <v>0</v>
      </c>
      <c r="AB60" s="8" t="n">
        <v>0</v>
      </c>
      <c r="AC60" s="8" t="n">
        <v>0</v>
      </c>
      <c r="AD60" s="8" t="n">
        <v>0</v>
      </c>
    </row>
    <row r="61" customFormat="false" ht="15" hidden="false" customHeight="false" outlineLevel="0" collapsed="false">
      <c r="A61" s="38" t="s">
        <v>1389</v>
      </c>
      <c r="B61" s="8" t="s">
        <v>1390</v>
      </c>
      <c r="C61" s="39" t="n">
        <v>5816</v>
      </c>
      <c r="D61" s="40" t="n">
        <v>45941</v>
      </c>
      <c r="E61" s="8" t="n">
        <v>25</v>
      </c>
      <c r="F61" s="39" t="n">
        <v>121700</v>
      </c>
      <c r="G61" s="39" t="n">
        <v>1190</v>
      </c>
      <c r="H61" s="39" t="n">
        <v>47</v>
      </c>
      <c r="I61" s="39" t="n">
        <v>417</v>
      </c>
      <c r="J61" s="39" t="n">
        <v>196</v>
      </c>
      <c r="K61" s="8" t="s">
        <v>1240</v>
      </c>
      <c r="L61" s="41" t="s">
        <v>1391</v>
      </c>
      <c r="M61" s="42" t="n">
        <f aca="false">IFERROR(I61/F61,0)</f>
        <v>0.00342645850451931</v>
      </c>
      <c r="N61" s="42" t="n">
        <f aca="false">IFERROR(J61/F61,0)</f>
        <v>0.00161051766639277</v>
      </c>
      <c r="O61" s="8" t="n">
        <v>0</v>
      </c>
      <c r="P61" s="8" t="n">
        <v>0</v>
      </c>
      <c r="Q61" s="8" t="n">
        <v>0</v>
      </c>
      <c r="R61" s="8" t="n">
        <v>0</v>
      </c>
      <c r="S61" s="8" t="n">
        <v>0</v>
      </c>
      <c r="T61" s="8" t="n">
        <v>1</v>
      </c>
      <c r="U61" s="8" t="n">
        <v>0</v>
      </c>
      <c r="V61" s="8" t="n">
        <v>0</v>
      </c>
      <c r="W61" s="8" t="n">
        <v>0</v>
      </c>
      <c r="X61" s="8" t="n">
        <v>1</v>
      </c>
      <c r="Y61" s="8" t="n">
        <v>0</v>
      </c>
      <c r="Z61" s="8" t="n">
        <v>0</v>
      </c>
      <c r="AA61" s="8" t="n">
        <v>0</v>
      </c>
      <c r="AB61" s="8" t="n">
        <v>0</v>
      </c>
      <c r="AC61" s="8" t="n">
        <v>0</v>
      </c>
      <c r="AD61" s="8" t="n">
        <v>0</v>
      </c>
    </row>
    <row r="62" customFormat="false" ht="15" hidden="false" customHeight="false" outlineLevel="0" collapsed="false">
      <c r="A62" s="38" t="s">
        <v>1392</v>
      </c>
      <c r="B62" s="8" t="s">
        <v>1258</v>
      </c>
      <c r="C62" s="39" t="n">
        <v>12100</v>
      </c>
      <c r="D62" s="40" t="n">
        <v>46222</v>
      </c>
      <c r="E62" s="8" t="n">
        <v>51</v>
      </c>
      <c r="F62" s="39" t="n">
        <v>121500</v>
      </c>
      <c r="G62" s="39" t="n">
        <v>3887</v>
      </c>
      <c r="H62" s="39" t="n">
        <v>93</v>
      </c>
      <c r="I62" s="39" t="n">
        <v>996</v>
      </c>
      <c r="J62" s="39" t="n">
        <v>1072</v>
      </c>
      <c r="K62" s="8" t="s">
        <v>1240</v>
      </c>
      <c r="L62" s="41" t="s">
        <v>1393</v>
      </c>
      <c r="M62" s="42" t="n">
        <f aca="false">IFERROR(I62/F62,0)</f>
        <v>0.00819753086419753</v>
      </c>
      <c r="N62" s="42" t="n">
        <f aca="false">IFERROR(J62/F62,0)</f>
        <v>0.00882304526748971</v>
      </c>
      <c r="O62" s="8" t="n">
        <v>0</v>
      </c>
      <c r="P62" s="8" t="n">
        <v>0</v>
      </c>
      <c r="Q62" s="8" t="n">
        <v>0</v>
      </c>
      <c r="R62" s="8" t="n">
        <v>0</v>
      </c>
      <c r="S62" s="8" t="n">
        <v>0</v>
      </c>
      <c r="T62" s="8" t="n">
        <v>1</v>
      </c>
      <c r="U62" s="8" t="n">
        <v>0</v>
      </c>
      <c r="V62" s="8" t="n">
        <v>0</v>
      </c>
      <c r="W62" s="8" t="n">
        <v>0</v>
      </c>
      <c r="X62" s="8" t="n">
        <v>1</v>
      </c>
      <c r="Y62" s="8" t="n">
        <v>0</v>
      </c>
      <c r="Z62" s="8" t="n">
        <v>0</v>
      </c>
      <c r="AA62" s="8" t="n">
        <v>0</v>
      </c>
      <c r="AB62" s="8" t="n">
        <v>0</v>
      </c>
      <c r="AC62" s="8" t="n">
        <v>0</v>
      </c>
      <c r="AD62" s="8" t="n">
        <v>0</v>
      </c>
    </row>
    <row r="63" customFormat="false" ht="15" hidden="false" customHeight="false" outlineLevel="0" collapsed="false">
      <c r="A63" s="38" t="s">
        <v>1394</v>
      </c>
      <c r="B63" s="8" t="s">
        <v>1395</v>
      </c>
      <c r="C63" s="39" t="n">
        <v>6517</v>
      </c>
      <c r="D63" s="40" t="n">
        <v>45711</v>
      </c>
      <c r="E63" s="8" t="n">
        <v>10</v>
      </c>
      <c r="F63" s="39" t="n">
        <v>120800</v>
      </c>
      <c r="G63" s="39" t="n">
        <v>1282</v>
      </c>
      <c r="H63" s="39" t="n">
        <v>28</v>
      </c>
      <c r="I63" s="39" t="n">
        <v>728</v>
      </c>
      <c r="J63" s="39" t="n">
        <v>359</v>
      </c>
      <c r="K63" s="8" t="s">
        <v>1240</v>
      </c>
      <c r="L63" s="41" t="s">
        <v>1396</v>
      </c>
      <c r="M63" s="42" t="n">
        <f aca="false">IFERROR(I63/F63,0)</f>
        <v>0.00602649006622517</v>
      </c>
      <c r="N63" s="42" t="n">
        <f aca="false">IFERROR(J63/F63,0)</f>
        <v>0.00297185430463576</v>
      </c>
      <c r="O63" s="8" t="n">
        <v>0</v>
      </c>
      <c r="P63" s="8" t="n">
        <v>0</v>
      </c>
      <c r="Q63" s="8" t="n">
        <v>0</v>
      </c>
      <c r="R63" s="8" t="n">
        <v>0</v>
      </c>
      <c r="S63" s="8" t="n">
        <v>0</v>
      </c>
      <c r="T63" s="8" t="n">
        <v>0</v>
      </c>
      <c r="U63" s="8" t="n">
        <v>0</v>
      </c>
      <c r="V63" s="8" t="n">
        <v>0</v>
      </c>
      <c r="W63" s="8" t="n">
        <v>1</v>
      </c>
      <c r="X63" s="8" t="n">
        <v>1</v>
      </c>
      <c r="Y63" s="8" t="n">
        <v>0</v>
      </c>
      <c r="Z63" s="8" t="n">
        <v>0</v>
      </c>
      <c r="AA63" s="8" t="n">
        <v>0</v>
      </c>
      <c r="AB63" s="8" t="n">
        <v>0</v>
      </c>
      <c r="AC63" s="8" t="n">
        <v>0</v>
      </c>
      <c r="AD63" s="8" t="n">
        <v>0</v>
      </c>
    </row>
    <row r="64" customFormat="false" ht="15" hidden="false" customHeight="false" outlineLevel="0" collapsed="false">
      <c r="A64" s="38" t="s">
        <v>1397</v>
      </c>
      <c r="B64" s="8" t="s">
        <v>1398</v>
      </c>
      <c r="C64" s="39" t="n">
        <v>28900</v>
      </c>
      <c r="D64" s="40" t="n">
        <v>45654</v>
      </c>
      <c r="E64" s="8" t="n">
        <v>15</v>
      </c>
      <c r="F64" s="39" t="n">
        <v>120700</v>
      </c>
      <c r="G64" s="39" t="n">
        <v>598</v>
      </c>
      <c r="H64" s="39" t="n">
        <v>15</v>
      </c>
      <c r="I64" s="39" t="n">
        <v>676</v>
      </c>
      <c r="J64" s="39" t="n">
        <v>495</v>
      </c>
      <c r="K64" s="8" t="s">
        <v>1240</v>
      </c>
      <c r="L64" s="41" t="s">
        <v>1399</v>
      </c>
      <c r="M64" s="42" t="n">
        <f aca="false">IFERROR(I64/F64,0)</f>
        <v>0.0056006628003314</v>
      </c>
      <c r="N64" s="42" t="n">
        <f aca="false">IFERROR(J64/F64,0)</f>
        <v>0.00410107705053853</v>
      </c>
      <c r="O64" s="8" t="n">
        <v>0</v>
      </c>
      <c r="P64" s="8" t="n">
        <v>0</v>
      </c>
      <c r="Q64" s="8" t="n">
        <v>0</v>
      </c>
      <c r="R64" s="8" t="n">
        <v>0</v>
      </c>
      <c r="S64" s="8" t="n">
        <v>0</v>
      </c>
      <c r="T64" s="8" t="n">
        <v>1</v>
      </c>
      <c r="U64" s="8" t="n">
        <v>0</v>
      </c>
      <c r="V64" s="8" t="n">
        <v>0</v>
      </c>
      <c r="W64" s="8" t="n">
        <v>0</v>
      </c>
      <c r="X64" s="8" t="n">
        <v>1</v>
      </c>
      <c r="Y64" s="8" t="n">
        <v>0</v>
      </c>
      <c r="Z64" s="8" t="n">
        <v>0</v>
      </c>
      <c r="AA64" s="8" t="n">
        <v>0</v>
      </c>
      <c r="AB64" s="8" t="n">
        <v>0</v>
      </c>
      <c r="AC64" s="8" t="n">
        <v>0</v>
      </c>
      <c r="AD64" s="8" t="n">
        <v>0</v>
      </c>
    </row>
    <row r="65" customFormat="false" ht="15" hidden="false" customHeight="false" outlineLevel="0" collapsed="false">
      <c r="A65" s="38" t="s">
        <v>1400</v>
      </c>
      <c r="B65" s="8" t="s">
        <v>1401</v>
      </c>
      <c r="C65" s="39" t="n">
        <v>1387</v>
      </c>
      <c r="D65" s="40" t="n">
        <v>45744</v>
      </c>
      <c r="E65" s="8" t="n">
        <v>20</v>
      </c>
      <c r="F65" s="39" t="n">
        <v>105600</v>
      </c>
      <c r="G65" s="39" t="n">
        <v>548</v>
      </c>
      <c r="H65" s="39" t="n">
        <v>69</v>
      </c>
      <c r="I65" s="39" t="n">
        <v>610</v>
      </c>
      <c r="J65" s="39" t="n">
        <v>415</v>
      </c>
      <c r="K65" s="8" t="s">
        <v>1240</v>
      </c>
      <c r="L65" s="41" t="s">
        <v>1402</v>
      </c>
      <c r="M65" s="42" t="n">
        <f aca="false">IFERROR(I65/F65,0)</f>
        <v>0.00577651515151515</v>
      </c>
      <c r="N65" s="42" t="n">
        <f aca="false">IFERROR(J65/F65,0)</f>
        <v>0.00392992424242424</v>
      </c>
      <c r="O65" s="8" t="n">
        <v>0</v>
      </c>
      <c r="P65" s="8" t="n">
        <v>0</v>
      </c>
      <c r="Q65" s="8" t="n">
        <v>0</v>
      </c>
      <c r="R65" s="8" t="n">
        <v>0</v>
      </c>
      <c r="S65" s="8" t="n">
        <v>0</v>
      </c>
      <c r="T65" s="8" t="n">
        <v>1</v>
      </c>
      <c r="U65" s="8" t="n">
        <v>0</v>
      </c>
      <c r="V65" s="8" t="n">
        <v>0</v>
      </c>
      <c r="W65" s="8" t="n">
        <v>0</v>
      </c>
      <c r="X65" s="8" t="n">
        <v>1</v>
      </c>
      <c r="Y65" s="8" t="n">
        <v>0</v>
      </c>
      <c r="Z65" s="8" t="n">
        <v>0</v>
      </c>
      <c r="AA65" s="8" t="n">
        <v>0</v>
      </c>
      <c r="AB65" s="8" t="n">
        <v>0</v>
      </c>
      <c r="AC65" s="8" t="n">
        <v>0</v>
      </c>
      <c r="AD65" s="8" t="n">
        <v>0</v>
      </c>
    </row>
    <row r="66" customFormat="false" ht="15" hidden="false" customHeight="false" outlineLevel="0" collapsed="false">
      <c r="A66" s="38" t="s">
        <v>1403</v>
      </c>
      <c r="B66" s="8" t="s">
        <v>1404</v>
      </c>
      <c r="C66" s="39" t="n">
        <v>1293</v>
      </c>
      <c r="D66" s="40" t="n">
        <v>45430</v>
      </c>
      <c r="E66" s="8" t="n">
        <v>12</v>
      </c>
      <c r="F66" s="39" t="n">
        <v>100100</v>
      </c>
      <c r="G66" s="39" t="n">
        <v>497</v>
      </c>
      <c r="H66" s="39" t="n">
        <v>41</v>
      </c>
      <c r="I66" s="39" t="n">
        <v>395</v>
      </c>
      <c r="J66" s="39" t="n">
        <v>160</v>
      </c>
      <c r="K66" s="8" t="s">
        <v>1240</v>
      </c>
      <c r="L66" s="41" t="s">
        <v>1405</v>
      </c>
      <c r="M66" s="42" t="n">
        <f aca="false">IFERROR(I66/F66,0)</f>
        <v>0.00394605394605395</v>
      </c>
      <c r="N66" s="42" t="n">
        <f aca="false">IFERROR(J66/F66,0)</f>
        <v>0.0015984015984016</v>
      </c>
      <c r="O66" s="8" t="n">
        <v>1</v>
      </c>
      <c r="P66" s="8" t="n">
        <v>1</v>
      </c>
      <c r="Q66" s="8" t="n">
        <v>0</v>
      </c>
      <c r="R66" s="8" t="n">
        <v>0</v>
      </c>
      <c r="S66" s="8" t="n">
        <v>0</v>
      </c>
      <c r="T66" s="8" t="n">
        <v>0</v>
      </c>
      <c r="U66" s="8" t="n">
        <v>0</v>
      </c>
      <c r="V66" s="8" t="n">
        <v>0</v>
      </c>
      <c r="W66" s="8" t="n">
        <v>1</v>
      </c>
      <c r="X66" s="8" t="n">
        <v>1</v>
      </c>
      <c r="Y66" s="8" t="n">
        <v>0</v>
      </c>
      <c r="Z66" s="8" t="n">
        <v>0</v>
      </c>
      <c r="AA66" s="8" t="n">
        <v>0</v>
      </c>
      <c r="AB66" s="8" t="n">
        <v>0</v>
      </c>
      <c r="AC66" s="8" t="n">
        <v>0</v>
      </c>
      <c r="AD66" s="8" t="n">
        <v>0</v>
      </c>
    </row>
    <row r="67" customFormat="false" ht="15" hidden="false" customHeight="false" outlineLevel="0" collapsed="false">
      <c r="A67" s="38" t="s">
        <v>1406</v>
      </c>
      <c r="B67" s="8" t="s">
        <v>1269</v>
      </c>
      <c r="C67" s="39" t="n">
        <v>14100</v>
      </c>
      <c r="D67" s="40" t="n">
        <v>46133</v>
      </c>
      <c r="E67" s="8" t="n">
        <v>35</v>
      </c>
      <c r="F67" s="39" t="n">
        <v>98300</v>
      </c>
      <c r="G67" s="39" t="n">
        <v>3316</v>
      </c>
      <c r="H67" s="39" t="n">
        <v>22</v>
      </c>
      <c r="I67" s="39" t="n">
        <v>134</v>
      </c>
      <c r="J67" s="39" t="n">
        <v>695</v>
      </c>
      <c r="K67" s="8" t="s">
        <v>1240</v>
      </c>
      <c r="L67" s="41" t="s">
        <v>1407</v>
      </c>
      <c r="M67" s="42" t="n">
        <f aca="false">IFERROR(I67/F67,0)</f>
        <v>0.00136317395727365</v>
      </c>
      <c r="N67" s="42" t="n">
        <f aca="false">IFERROR(J67/F67,0)</f>
        <v>0.00707019328585961</v>
      </c>
      <c r="O67" s="8" t="n">
        <v>0</v>
      </c>
      <c r="P67" s="8" t="n">
        <v>0</v>
      </c>
      <c r="Q67" s="8" t="n">
        <v>0</v>
      </c>
      <c r="R67" s="8" t="n">
        <v>1</v>
      </c>
      <c r="S67" s="8" t="n">
        <v>0</v>
      </c>
      <c r="T67" s="8" t="n">
        <v>0</v>
      </c>
      <c r="U67" s="8" t="n">
        <v>0</v>
      </c>
      <c r="V67" s="8" t="n">
        <v>0</v>
      </c>
      <c r="W67" s="8" t="n">
        <v>0</v>
      </c>
      <c r="X67" s="8" t="n">
        <v>0</v>
      </c>
      <c r="Y67" s="8" t="n">
        <v>0</v>
      </c>
      <c r="Z67" s="8" t="n">
        <v>0</v>
      </c>
      <c r="AA67" s="8" t="n">
        <v>1</v>
      </c>
      <c r="AB67" s="8" t="n">
        <v>0</v>
      </c>
      <c r="AC67" s="8" t="n">
        <v>0</v>
      </c>
      <c r="AD67" s="8" t="n">
        <v>0</v>
      </c>
    </row>
    <row r="68" customFormat="false" ht="15" hidden="false" customHeight="false" outlineLevel="0" collapsed="false">
      <c r="A68" s="38" t="s">
        <v>1408</v>
      </c>
      <c r="B68" s="8" t="s">
        <v>1409</v>
      </c>
      <c r="C68" s="39" t="n">
        <v>73900</v>
      </c>
      <c r="D68" s="40" t="n">
        <v>44699</v>
      </c>
      <c r="E68" s="8" t="n">
        <v>30</v>
      </c>
      <c r="F68" s="39" t="n">
        <v>97700</v>
      </c>
      <c r="G68" s="39" t="n">
        <v>2749</v>
      </c>
      <c r="H68" s="39" t="n">
        <v>54</v>
      </c>
      <c r="I68" s="39" t="n">
        <v>320</v>
      </c>
      <c r="J68" s="39" t="n">
        <v>191</v>
      </c>
      <c r="K68" s="8" t="s">
        <v>1240</v>
      </c>
      <c r="L68" s="41" t="s">
        <v>1410</v>
      </c>
      <c r="M68" s="42" t="n">
        <f aca="false">IFERROR(I68/F68,0)</f>
        <v>0.00327533265097236</v>
      </c>
      <c r="N68" s="42" t="n">
        <f aca="false">IFERROR(J68/F68,0)</f>
        <v>0.00195496417604913</v>
      </c>
      <c r="O68" s="8" t="n">
        <v>0</v>
      </c>
      <c r="P68" s="8" t="n">
        <v>0</v>
      </c>
      <c r="Q68" s="8" t="n">
        <v>0</v>
      </c>
      <c r="R68" s="8" t="n">
        <v>0</v>
      </c>
      <c r="S68" s="8" t="n">
        <v>0</v>
      </c>
      <c r="T68" s="8" t="n">
        <v>1</v>
      </c>
      <c r="U68" s="8" t="n">
        <v>0</v>
      </c>
      <c r="V68" s="8" t="n">
        <v>0</v>
      </c>
      <c r="W68" s="8" t="n">
        <v>0</v>
      </c>
      <c r="X68" s="8" t="n">
        <v>0</v>
      </c>
      <c r="Y68" s="8" t="n">
        <v>0</v>
      </c>
      <c r="Z68" s="8" t="n">
        <v>0</v>
      </c>
      <c r="AA68" s="8" t="n">
        <v>0</v>
      </c>
      <c r="AB68" s="8" t="n">
        <v>0</v>
      </c>
      <c r="AC68" s="8" t="n">
        <v>0</v>
      </c>
      <c r="AD68" s="8" t="n">
        <v>0</v>
      </c>
    </row>
    <row r="69" customFormat="false" ht="15" hidden="false" customHeight="false" outlineLevel="0" collapsed="false">
      <c r="A69" s="38" t="s">
        <v>1411</v>
      </c>
      <c r="B69" s="8" t="s">
        <v>1412</v>
      </c>
      <c r="C69" s="39" t="n">
        <v>8941</v>
      </c>
      <c r="D69" s="40" t="n">
        <v>45806</v>
      </c>
      <c r="E69" s="8" t="n">
        <v>100</v>
      </c>
      <c r="F69" s="39" t="n">
        <v>97000</v>
      </c>
      <c r="G69" s="39" t="n">
        <v>2727</v>
      </c>
      <c r="H69" s="39" t="n">
        <v>165</v>
      </c>
      <c r="I69" s="39" t="n">
        <v>559</v>
      </c>
      <c r="J69" s="39" t="n">
        <v>492</v>
      </c>
      <c r="K69" s="8" t="s">
        <v>1240</v>
      </c>
      <c r="L69" s="41" t="s">
        <v>1413</v>
      </c>
      <c r="M69" s="42" t="n">
        <f aca="false">IFERROR(I69/F69,0)</f>
        <v>0.00576288659793814</v>
      </c>
      <c r="N69" s="42" t="n">
        <f aca="false">IFERROR(J69/F69,0)</f>
        <v>0.00507216494845361</v>
      </c>
      <c r="O69" s="8" t="n">
        <v>0</v>
      </c>
      <c r="P69" s="8" t="n">
        <v>1</v>
      </c>
      <c r="Q69" s="8" t="n">
        <v>0</v>
      </c>
      <c r="R69" s="8" t="n">
        <v>1</v>
      </c>
      <c r="S69" s="8" t="n">
        <v>0</v>
      </c>
      <c r="T69" s="8" t="n">
        <v>0</v>
      </c>
      <c r="U69" s="8" t="n">
        <v>0</v>
      </c>
      <c r="V69" s="8" t="n">
        <v>0</v>
      </c>
      <c r="W69" s="8" t="n">
        <v>1</v>
      </c>
      <c r="X69" s="8" t="n">
        <v>1</v>
      </c>
      <c r="Y69" s="8" t="n">
        <v>0</v>
      </c>
      <c r="Z69" s="8" t="n">
        <v>0</v>
      </c>
      <c r="AA69" s="8" t="n">
        <v>1</v>
      </c>
      <c r="AB69" s="8" t="n">
        <v>1</v>
      </c>
      <c r="AC69" s="8" t="n">
        <v>0</v>
      </c>
      <c r="AD69" s="8" t="n">
        <v>0</v>
      </c>
    </row>
    <row r="70" customFormat="false" ht="15" hidden="false" customHeight="false" outlineLevel="0" collapsed="false">
      <c r="A70" s="38" t="s">
        <v>1414</v>
      </c>
      <c r="B70" s="8" t="s">
        <v>1415</v>
      </c>
      <c r="C70" s="39" t="n">
        <v>2312</v>
      </c>
      <c r="D70" s="40" t="n">
        <v>46219</v>
      </c>
      <c r="E70" s="8" t="n">
        <v>18</v>
      </c>
      <c r="F70" s="39" t="n">
        <v>96300</v>
      </c>
      <c r="G70" s="39" t="n">
        <v>643</v>
      </c>
      <c r="H70" s="39" t="n">
        <v>53</v>
      </c>
      <c r="I70" s="39" t="n">
        <v>513</v>
      </c>
      <c r="J70" s="39" t="n">
        <v>465</v>
      </c>
      <c r="K70" s="8" t="s">
        <v>1240</v>
      </c>
      <c r="L70" s="41" t="s">
        <v>1416</v>
      </c>
      <c r="M70" s="42" t="n">
        <f aca="false">IFERROR(I70/F70,0)</f>
        <v>0.00532710280373832</v>
      </c>
      <c r="N70" s="42" t="n">
        <f aca="false">IFERROR(J70/F70,0)</f>
        <v>0.00482866043613707</v>
      </c>
      <c r="O70" s="8" t="n">
        <v>0</v>
      </c>
      <c r="P70" s="8" t="n">
        <v>0</v>
      </c>
      <c r="Q70" s="8" t="n">
        <v>0</v>
      </c>
      <c r="R70" s="8" t="n">
        <v>0</v>
      </c>
      <c r="S70" s="8" t="n">
        <v>0</v>
      </c>
      <c r="T70" s="8" t="n">
        <v>1</v>
      </c>
      <c r="U70" s="8" t="n">
        <v>0</v>
      </c>
      <c r="V70" s="8" t="n">
        <v>0</v>
      </c>
      <c r="W70" s="8" t="n">
        <v>0</v>
      </c>
      <c r="X70" s="8" t="n">
        <v>1</v>
      </c>
      <c r="Y70" s="8" t="n">
        <v>0</v>
      </c>
      <c r="Z70" s="8" t="n">
        <v>0</v>
      </c>
      <c r="AA70" s="8" t="n">
        <v>0</v>
      </c>
      <c r="AB70" s="8" t="n">
        <v>0</v>
      </c>
      <c r="AC70" s="8" t="n">
        <v>0</v>
      </c>
      <c r="AD70" s="8" t="n">
        <v>0</v>
      </c>
    </row>
    <row r="71" customFormat="false" ht="15" hidden="false" customHeight="false" outlineLevel="0" collapsed="false">
      <c r="A71" s="38" t="s">
        <v>1417</v>
      </c>
      <c r="B71" s="8" t="s">
        <v>1242</v>
      </c>
      <c r="C71" s="39" t="n">
        <v>602200</v>
      </c>
      <c r="D71" s="40" t="n">
        <v>46137</v>
      </c>
      <c r="E71" s="8" t="n">
        <v>29</v>
      </c>
      <c r="F71" s="39" t="n">
        <v>95600</v>
      </c>
      <c r="G71" s="39" t="n">
        <v>1735</v>
      </c>
      <c r="H71" s="39" t="n">
        <v>60</v>
      </c>
      <c r="I71" s="39" t="n">
        <v>680</v>
      </c>
      <c r="J71" s="39" t="n">
        <v>503</v>
      </c>
      <c r="K71" s="8" t="s">
        <v>1243</v>
      </c>
      <c r="L71" s="41" t="s">
        <v>1309</v>
      </c>
      <c r="M71" s="42" t="n">
        <f aca="false">IFERROR(I71/F71,0)</f>
        <v>0.00711297071129707</v>
      </c>
      <c r="N71" s="42" t="n">
        <f aca="false">IFERROR(J71/F71,0)</f>
        <v>0.00526150627615063</v>
      </c>
      <c r="O71" s="8" t="n">
        <v>1</v>
      </c>
      <c r="P71" s="8" t="n">
        <v>1</v>
      </c>
      <c r="Q71" s="8" t="n">
        <v>0</v>
      </c>
      <c r="R71" s="8" t="n">
        <v>1</v>
      </c>
      <c r="S71" s="8" t="n">
        <v>0</v>
      </c>
      <c r="T71" s="8" t="n">
        <v>0</v>
      </c>
      <c r="U71" s="8" t="n">
        <v>0</v>
      </c>
      <c r="V71" s="8" t="n">
        <v>0</v>
      </c>
      <c r="W71" s="8" t="n">
        <v>0</v>
      </c>
      <c r="X71" s="8" t="n">
        <v>0</v>
      </c>
      <c r="Y71" s="8" t="n">
        <v>0</v>
      </c>
      <c r="Z71" s="8" t="n">
        <v>0</v>
      </c>
      <c r="AA71" s="8" t="n">
        <v>0</v>
      </c>
      <c r="AB71" s="8" t="n">
        <v>0</v>
      </c>
      <c r="AC71" s="8" t="n">
        <v>0</v>
      </c>
      <c r="AD71" s="8" t="n">
        <v>1</v>
      </c>
    </row>
    <row r="72" customFormat="false" ht="15" hidden="false" customHeight="false" outlineLevel="0" collapsed="false">
      <c r="A72" s="38" t="s">
        <v>1418</v>
      </c>
      <c r="B72" s="8" t="s">
        <v>1324</v>
      </c>
      <c r="C72" s="39" t="n">
        <v>2449</v>
      </c>
      <c r="D72" s="40" t="n">
        <v>45736</v>
      </c>
      <c r="E72" s="8" t="n">
        <v>57</v>
      </c>
      <c r="F72" s="39" t="n">
        <v>93600</v>
      </c>
      <c r="G72" s="39" t="n">
        <v>359</v>
      </c>
      <c r="H72" s="39" t="n">
        <v>5</v>
      </c>
      <c r="I72" s="39" t="n">
        <v>40</v>
      </c>
      <c r="J72" s="39" t="n">
        <v>57</v>
      </c>
      <c r="K72" s="8" t="s">
        <v>1243</v>
      </c>
      <c r="L72" s="41" t="s">
        <v>1419</v>
      </c>
      <c r="M72" s="42" t="n">
        <f aca="false">IFERROR(I72/F72,0)</f>
        <v>0.000427350427350427</v>
      </c>
      <c r="N72" s="42" t="n">
        <f aca="false">IFERROR(J72/F72,0)</f>
        <v>0.000608974358974359</v>
      </c>
      <c r="O72" s="8" t="n">
        <v>0</v>
      </c>
      <c r="P72" s="8" t="n">
        <v>0</v>
      </c>
      <c r="Q72" s="8" t="n">
        <v>0</v>
      </c>
      <c r="R72" s="8" t="n">
        <v>0</v>
      </c>
      <c r="S72" s="8" t="n">
        <v>0</v>
      </c>
      <c r="T72" s="8" t="n">
        <v>0</v>
      </c>
      <c r="U72" s="8" t="n">
        <v>0</v>
      </c>
      <c r="V72" s="8" t="n">
        <v>0</v>
      </c>
      <c r="W72" s="8" t="n">
        <v>0</v>
      </c>
      <c r="X72" s="8" t="n">
        <v>0</v>
      </c>
      <c r="Y72" s="8" t="n">
        <v>0</v>
      </c>
      <c r="Z72" s="8" t="n">
        <v>0</v>
      </c>
      <c r="AA72" s="8" t="n">
        <v>0</v>
      </c>
      <c r="AB72" s="8" t="n">
        <v>0</v>
      </c>
      <c r="AC72" s="8" t="n">
        <v>0</v>
      </c>
      <c r="AD72" s="8" t="n">
        <v>0</v>
      </c>
    </row>
    <row r="73" customFormat="false" ht="15" hidden="false" customHeight="false" outlineLevel="0" collapsed="false">
      <c r="A73" s="38" t="s">
        <v>1420</v>
      </c>
      <c r="B73" s="8" t="s">
        <v>1421</v>
      </c>
      <c r="C73" s="39" t="n">
        <v>19600</v>
      </c>
      <c r="D73" s="40" t="n">
        <v>46313</v>
      </c>
      <c r="E73" s="8" t="n">
        <v>37</v>
      </c>
      <c r="F73" s="39" t="n">
        <v>91700</v>
      </c>
      <c r="G73" s="39" t="n">
        <v>164</v>
      </c>
      <c r="H73" s="39" t="n">
        <v>4</v>
      </c>
      <c r="I73" s="39" t="n">
        <v>4</v>
      </c>
      <c r="J73" s="39" t="n">
        <v>16</v>
      </c>
      <c r="K73" s="8" t="s">
        <v>1240</v>
      </c>
      <c r="L73" s="41" t="s">
        <v>1422</v>
      </c>
      <c r="M73" s="42" t="n">
        <f aca="false">IFERROR(I73/F73,0)</f>
        <v>4.36205016357688E-005</v>
      </c>
      <c r="N73" s="42" t="n">
        <f aca="false">IFERROR(J73/F73,0)</f>
        <v>0.000174482006543075</v>
      </c>
      <c r="O73" s="8" t="n">
        <v>0</v>
      </c>
      <c r="P73" s="8" t="n">
        <v>1</v>
      </c>
      <c r="Q73" s="8" t="n">
        <v>0</v>
      </c>
      <c r="R73" s="8" t="n">
        <v>0</v>
      </c>
      <c r="S73" s="8" t="n">
        <v>0</v>
      </c>
      <c r="T73" s="8" t="n">
        <v>0</v>
      </c>
      <c r="U73" s="8" t="n">
        <v>0</v>
      </c>
      <c r="V73" s="8" t="n">
        <v>0</v>
      </c>
      <c r="W73" s="8" t="n">
        <v>0</v>
      </c>
      <c r="X73" s="8" t="n">
        <v>0</v>
      </c>
      <c r="Y73" s="8" t="n">
        <v>0</v>
      </c>
      <c r="Z73" s="8" t="n">
        <v>0</v>
      </c>
      <c r="AA73" s="8" t="n">
        <v>0</v>
      </c>
      <c r="AB73" s="8" t="n">
        <v>0</v>
      </c>
      <c r="AC73" s="8" t="n">
        <v>0</v>
      </c>
      <c r="AD73" s="8" t="n">
        <v>0</v>
      </c>
    </row>
    <row r="74" customFormat="false" ht="15" hidden="false" customHeight="false" outlineLevel="0" collapsed="false">
      <c r="A74" s="38" t="s">
        <v>1423</v>
      </c>
      <c r="B74" s="8" t="s">
        <v>1330</v>
      </c>
      <c r="C74" s="39" t="n">
        <v>547900</v>
      </c>
      <c r="D74" s="40" t="n">
        <v>46316</v>
      </c>
      <c r="E74" s="8" t="n">
        <v>274</v>
      </c>
      <c r="F74" s="39" t="n">
        <v>89200</v>
      </c>
      <c r="G74" s="39" t="n">
        <v>10700</v>
      </c>
      <c r="H74" s="39" t="n">
        <v>1091</v>
      </c>
      <c r="I74" s="39" t="n">
        <v>633</v>
      </c>
      <c r="J74" s="39" t="n">
        <v>1542</v>
      </c>
      <c r="K74" s="8" t="s">
        <v>1240</v>
      </c>
      <c r="L74" s="41" t="s">
        <v>1331</v>
      </c>
      <c r="M74" s="42" t="n">
        <f aca="false">IFERROR(I74/F74,0)</f>
        <v>0.00709641255605381</v>
      </c>
      <c r="N74" s="42" t="n">
        <f aca="false">IFERROR(J74/F74,0)</f>
        <v>0.0172869955156951</v>
      </c>
      <c r="O74" s="8" t="n">
        <v>0</v>
      </c>
      <c r="P74" s="8" t="n">
        <v>0</v>
      </c>
      <c r="Q74" s="8" t="n">
        <v>0</v>
      </c>
      <c r="R74" s="8" t="n">
        <v>0</v>
      </c>
      <c r="S74" s="8" t="n">
        <v>0</v>
      </c>
      <c r="T74" s="8" t="n">
        <v>0</v>
      </c>
      <c r="U74" s="8" t="n">
        <v>0</v>
      </c>
      <c r="V74" s="8" t="n">
        <v>0</v>
      </c>
      <c r="W74" s="8" t="n">
        <v>0</v>
      </c>
      <c r="X74" s="8" t="n">
        <v>0</v>
      </c>
      <c r="Y74" s="8" t="n">
        <v>0</v>
      </c>
      <c r="Z74" s="8" t="n">
        <v>0</v>
      </c>
      <c r="AA74" s="8" t="n">
        <v>0</v>
      </c>
      <c r="AB74" s="8" t="n">
        <v>0</v>
      </c>
      <c r="AC74" s="8" t="n">
        <v>0</v>
      </c>
      <c r="AD74" s="8" t="n">
        <v>0</v>
      </c>
    </row>
    <row r="75" customFormat="false" ht="15" hidden="false" customHeight="false" outlineLevel="0" collapsed="false">
      <c r="A75" s="38" t="s">
        <v>1424</v>
      </c>
      <c r="B75" s="8" t="s">
        <v>1425</v>
      </c>
      <c r="C75" s="39" t="n">
        <v>20000</v>
      </c>
      <c r="D75" s="40" t="n">
        <v>44775</v>
      </c>
      <c r="E75" s="8" t="n">
        <v>60</v>
      </c>
      <c r="F75" s="39" t="n">
        <v>85500</v>
      </c>
      <c r="G75" s="39" t="n">
        <v>365</v>
      </c>
      <c r="H75" s="39" t="n">
        <v>18</v>
      </c>
      <c r="I75" s="39" t="n">
        <v>331</v>
      </c>
      <c r="J75" s="39" t="n">
        <v>156</v>
      </c>
      <c r="K75" s="8" t="s">
        <v>1243</v>
      </c>
      <c r="L75" s="41" t="s">
        <v>1426</v>
      </c>
      <c r="M75" s="42" t="n">
        <f aca="false">IFERROR(I75/F75,0)</f>
        <v>0.00387134502923977</v>
      </c>
      <c r="N75" s="42" t="n">
        <f aca="false">IFERROR(J75/F75,0)</f>
        <v>0.00182456140350877</v>
      </c>
      <c r="O75" s="8" t="n">
        <v>1</v>
      </c>
      <c r="P75" s="8" t="n">
        <v>0</v>
      </c>
      <c r="Q75" s="8" t="n">
        <v>1</v>
      </c>
      <c r="R75" s="8" t="n">
        <v>1</v>
      </c>
      <c r="S75" s="8" t="n">
        <v>0</v>
      </c>
      <c r="T75" s="8" t="n">
        <v>0</v>
      </c>
      <c r="U75" s="8" t="n">
        <v>0</v>
      </c>
      <c r="V75" s="8" t="n">
        <v>0</v>
      </c>
      <c r="W75" s="8" t="n">
        <v>0</v>
      </c>
      <c r="X75" s="8" t="n">
        <v>0</v>
      </c>
      <c r="Y75" s="8" t="n">
        <v>0</v>
      </c>
      <c r="Z75" s="8" t="n">
        <v>0</v>
      </c>
      <c r="AA75" s="8" t="n">
        <v>0</v>
      </c>
      <c r="AB75" s="8" t="n">
        <v>0</v>
      </c>
      <c r="AC75" s="8" t="n">
        <v>0</v>
      </c>
      <c r="AD75" s="8" t="n">
        <v>0</v>
      </c>
    </row>
    <row r="76" customFormat="false" ht="15" hidden="false" customHeight="false" outlineLevel="0" collapsed="false">
      <c r="A76" s="38" t="s">
        <v>1427</v>
      </c>
      <c r="B76" s="8" t="s">
        <v>1239</v>
      </c>
      <c r="C76" s="39" t="n">
        <v>206000</v>
      </c>
      <c r="D76" s="40" t="n">
        <v>46219</v>
      </c>
      <c r="E76" s="8" t="n">
        <v>16</v>
      </c>
      <c r="F76" s="39" t="n">
        <v>82200</v>
      </c>
      <c r="G76" s="39" t="n">
        <v>552</v>
      </c>
      <c r="H76" s="39" t="n">
        <v>7</v>
      </c>
      <c r="I76" s="39" t="n">
        <v>442</v>
      </c>
      <c r="J76" s="39" t="n">
        <v>343</v>
      </c>
      <c r="K76" s="8" t="s">
        <v>1240</v>
      </c>
      <c r="L76" s="41" t="s">
        <v>1428</v>
      </c>
      <c r="M76" s="42" t="n">
        <f aca="false">IFERROR(I76/F76,0)</f>
        <v>0.00537712895377129</v>
      </c>
      <c r="N76" s="42" t="n">
        <f aca="false">IFERROR(J76/F76,0)</f>
        <v>0.00417274939172749</v>
      </c>
      <c r="O76" s="8" t="n">
        <v>0</v>
      </c>
      <c r="P76" s="8" t="n">
        <v>0</v>
      </c>
      <c r="Q76" s="8" t="n">
        <v>0</v>
      </c>
      <c r="R76" s="8" t="n">
        <v>0</v>
      </c>
      <c r="S76" s="8" t="n">
        <v>0</v>
      </c>
      <c r="T76" s="8" t="n">
        <v>1</v>
      </c>
      <c r="U76" s="8" t="n">
        <v>0</v>
      </c>
      <c r="V76" s="8" t="n">
        <v>0</v>
      </c>
      <c r="W76" s="8" t="n">
        <v>0</v>
      </c>
      <c r="X76" s="8" t="n">
        <v>1</v>
      </c>
      <c r="Y76" s="8" t="n">
        <v>0</v>
      </c>
      <c r="Z76" s="8" t="n">
        <v>0</v>
      </c>
      <c r="AA76" s="8" t="n">
        <v>0</v>
      </c>
      <c r="AB76" s="8" t="n">
        <v>0</v>
      </c>
      <c r="AC76" s="8" t="n">
        <v>0</v>
      </c>
      <c r="AD76" s="8" t="n">
        <v>0</v>
      </c>
    </row>
    <row r="77" customFormat="false" ht="15" hidden="false" customHeight="false" outlineLevel="0" collapsed="false">
      <c r="A77" s="38" t="s">
        <v>1429</v>
      </c>
      <c r="B77" s="8" t="s">
        <v>1430</v>
      </c>
      <c r="C77" s="39" t="n">
        <v>10400</v>
      </c>
      <c r="D77" s="40" t="n">
        <v>46265</v>
      </c>
      <c r="E77" s="8" t="n">
        <v>30</v>
      </c>
      <c r="F77" s="39" t="n">
        <v>80300</v>
      </c>
      <c r="G77" s="39" t="n">
        <v>664</v>
      </c>
      <c r="H77" s="39" t="n">
        <v>62</v>
      </c>
      <c r="I77" s="39" t="n">
        <v>277</v>
      </c>
      <c r="J77" s="39" t="n">
        <v>525</v>
      </c>
      <c r="K77" s="8" t="s">
        <v>1240</v>
      </c>
      <c r="L77" s="41" t="s">
        <v>1431</v>
      </c>
      <c r="M77" s="42" t="n">
        <f aca="false">IFERROR(I77/F77,0)</f>
        <v>0.00344956413449564</v>
      </c>
      <c r="N77" s="42" t="n">
        <f aca="false">IFERROR(J77/F77,0)</f>
        <v>0.00653798256537983</v>
      </c>
      <c r="O77" s="8" t="n">
        <v>0</v>
      </c>
      <c r="P77" s="8" t="n">
        <v>0</v>
      </c>
      <c r="Q77" s="8" t="n">
        <v>0</v>
      </c>
      <c r="R77" s="8" t="n">
        <v>0</v>
      </c>
      <c r="S77" s="8" t="n">
        <v>0</v>
      </c>
      <c r="T77" s="8" t="n">
        <v>1</v>
      </c>
      <c r="U77" s="8" t="n">
        <v>0</v>
      </c>
      <c r="V77" s="8" t="n">
        <v>0</v>
      </c>
      <c r="W77" s="8" t="n">
        <v>0</v>
      </c>
      <c r="X77" s="8" t="n">
        <v>1</v>
      </c>
      <c r="Y77" s="8" t="n">
        <v>0</v>
      </c>
      <c r="Z77" s="8" t="n">
        <v>0</v>
      </c>
      <c r="AA77" s="8" t="n">
        <v>0</v>
      </c>
      <c r="AB77" s="8" t="n">
        <v>0</v>
      </c>
      <c r="AC77" s="8" t="n">
        <v>0</v>
      </c>
      <c r="AD77" s="8" t="n">
        <v>0</v>
      </c>
    </row>
    <row r="78" customFormat="false" ht="15" hidden="false" customHeight="false" outlineLevel="0" collapsed="false">
      <c r="A78" s="38" t="s">
        <v>1432</v>
      </c>
      <c r="B78" s="8" t="s">
        <v>1433</v>
      </c>
      <c r="C78" s="39" t="n">
        <v>1816</v>
      </c>
      <c r="D78" s="40" t="n">
        <v>45828</v>
      </c>
      <c r="E78" s="8" t="n">
        <v>383</v>
      </c>
      <c r="F78" s="39" t="n">
        <v>77700</v>
      </c>
      <c r="G78" s="39" t="n">
        <v>1603</v>
      </c>
      <c r="H78" s="39" t="n">
        <v>222</v>
      </c>
      <c r="I78" s="39" t="n">
        <v>455</v>
      </c>
      <c r="J78" s="39" t="n">
        <v>287</v>
      </c>
      <c r="K78" s="8" t="s">
        <v>1240</v>
      </c>
      <c r="L78" s="41" t="s">
        <v>1434</v>
      </c>
      <c r="M78" s="42" t="n">
        <f aca="false">IFERROR(I78/F78,0)</f>
        <v>0.00585585585585586</v>
      </c>
      <c r="N78" s="42" t="n">
        <f aca="false">IFERROR(J78/F78,0)</f>
        <v>0.00369369369369369</v>
      </c>
      <c r="O78" s="8" t="n">
        <v>0</v>
      </c>
      <c r="P78" s="8" t="n">
        <v>0</v>
      </c>
      <c r="Q78" s="8" t="n">
        <v>0</v>
      </c>
      <c r="R78" s="8" t="n">
        <v>0</v>
      </c>
      <c r="S78" s="8" t="n">
        <v>0</v>
      </c>
      <c r="T78" s="8" t="n">
        <v>0</v>
      </c>
      <c r="U78" s="8" t="n">
        <v>0</v>
      </c>
      <c r="V78" s="8" t="n">
        <v>0</v>
      </c>
      <c r="W78" s="8" t="n">
        <v>1</v>
      </c>
      <c r="X78" s="8" t="n">
        <v>1</v>
      </c>
      <c r="Y78" s="8" t="n">
        <v>0</v>
      </c>
      <c r="Z78" s="8" t="n">
        <v>0</v>
      </c>
      <c r="AA78" s="8" t="n">
        <v>0</v>
      </c>
      <c r="AB78" s="8" t="n">
        <v>0</v>
      </c>
      <c r="AC78" s="8" t="n">
        <v>0</v>
      </c>
      <c r="AD78" s="8" t="n">
        <v>0</v>
      </c>
    </row>
    <row r="79" customFormat="false" ht="15" hidden="false" customHeight="false" outlineLevel="0" collapsed="false">
      <c r="A79" s="38" t="s">
        <v>1435</v>
      </c>
      <c r="B79" s="8" t="s">
        <v>1436</v>
      </c>
      <c r="C79" s="39" t="n">
        <v>35100</v>
      </c>
      <c r="D79" s="40" t="n">
        <v>45905</v>
      </c>
      <c r="E79" s="8" t="n">
        <v>15</v>
      </c>
      <c r="F79" s="39" t="n">
        <v>76600</v>
      </c>
      <c r="G79" s="39" t="n">
        <v>865</v>
      </c>
      <c r="H79" s="39" t="n">
        <v>91</v>
      </c>
      <c r="I79" s="39" t="n">
        <v>672</v>
      </c>
      <c r="J79" s="39" t="n">
        <v>576</v>
      </c>
      <c r="K79" s="8" t="s">
        <v>1243</v>
      </c>
      <c r="L79" s="41" t="s">
        <v>1437</v>
      </c>
      <c r="M79" s="42" t="n">
        <f aca="false">IFERROR(I79/F79,0)</f>
        <v>0.00877284595300261</v>
      </c>
      <c r="N79" s="42" t="n">
        <f aca="false">IFERROR(J79/F79,0)</f>
        <v>0.00751958224543081</v>
      </c>
      <c r="O79" s="8" t="n">
        <v>0</v>
      </c>
      <c r="P79" s="8" t="n">
        <v>1</v>
      </c>
      <c r="Q79" s="8" t="n">
        <v>0</v>
      </c>
      <c r="R79" s="8" t="n">
        <v>0</v>
      </c>
      <c r="S79" s="8" t="n">
        <v>0</v>
      </c>
      <c r="T79" s="8" t="n">
        <v>0</v>
      </c>
      <c r="U79" s="8" t="n">
        <v>0</v>
      </c>
      <c r="V79" s="8" t="n">
        <v>0</v>
      </c>
      <c r="W79" s="8" t="n">
        <v>0</v>
      </c>
      <c r="X79" s="8" t="n">
        <v>0</v>
      </c>
      <c r="Y79" s="8" t="n">
        <v>0</v>
      </c>
      <c r="Z79" s="8" t="n">
        <v>0</v>
      </c>
      <c r="AA79" s="8" t="n">
        <v>0</v>
      </c>
      <c r="AB79" s="8" t="n">
        <v>1</v>
      </c>
      <c r="AC79" s="8" t="n">
        <v>0</v>
      </c>
      <c r="AD79" s="8" t="n">
        <v>0</v>
      </c>
    </row>
    <row r="80" customFormat="false" ht="15" hidden="false" customHeight="false" outlineLevel="0" collapsed="false">
      <c r="A80" s="38" t="s">
        <v>1438</v>
      </c>
      <c r="B80" s="8" t="s">
        <v>1439</v>
      </c>
      <c r="C80" s="39" t="n">
        <v>2080</v>
      </c>
      <c r="D80" s="40" t="n">
        <v>45935</v>
      </c>
      <c r="E80" s="8" t="n">
        <v>59</v>
      </c>
      <c r="F80" s="39" t="n">
        <v>76500</v>
      </c>
      <c r="G80" s="39" t="n">
        <v>1480</v>
      </c>
      <c r="H80" s="39" t="n">
        <v>26</v>
      </c>
      <c r="I80" s="39" t="n">
        <v>79</v>
      </c>
      <c r="J80" s="39" t="n">
        <v>147</v>
      </c>
      <c r="K80" s="8" t="s">
        <v>1243</v>
      </c>
      <c r="L80" s="41" t="s">
        <v>1440</v>
      </c>
      <c r="M80" s="42" t="n">
        <f aca="false">IFERROR(I80/F80,0)</f>
        <v>0.00103267973856209</v>
      </c>
      <c r="N80" s="42" t="n">
        <f aca="false">IFERROR(J80/F80,0)</f>
        <v>0.00192156862745098</v>
      </c>
      <c r="O80" s="8" t="n">
        <v>0</v>
      </c>
      <c r="P80" s="8" t="n">
        <v>0</v>
      </c>
      <c r="Q80" s="8" t="n">
        <v>0</v>
      </c>
      <c r="R80" s="8" t="n">
        <v>1</v>
      </c>
      <c r="S80" s="8" t="n">
        <v>0</v>
      </c>
      <c r="T80" s="8" t="n">
        <v>0</v>
      </c>
      <c r="U80" s="8" t="n">
        <v>0</v>
      </c>
      <c r="V80" s="8" t="n">
        <v>0</v>
      </c>
      <c r="W80" s="8" t="n">
        <v>0</v>
      </c>
      <c r="X80" s="8" t="n">
        <v>0</v>
      </c>
      <c r="Y80" s="8" t="n">
        <v>0</v>
      </c>
      <c r="Z80" s="8" t="n">
        <v>0</v>
      </c>
      <c r="AA80" s="8" t="n">
        <v>0</v>
      </c>
      <c r="AB80" s="8" t="n">
        <v>0</v>
      </c>
      <c r="AC80" s="8" t="n">
        <v>0</v>
      </c>
      <c r="AD80" s="8" t="n">
        <v>0</v>
      </c>
    </row>
    <row r="81" customFormat="false" ht="15" hidden="false" customHeight="false" outlineLevel="0" collapsed="false">
      <c r="A81" s="38" t="s">
        <v>1441</v>
      </c>
      <c r="B81" s="8" t="s">
        <v>1442</v>
      </c>
      <c r="C81" s="39" t="n">
        <v>115</v>
      </c>
      <c r="D81" s="40" t="n">
        <v>46203</v>
      </c>
      <c r="E81" s="8" t="n">
        <v>20</v>
      </c>
      <c r="F81" s="39" t="n">
        <v>73500</v>
      </c>
      <c r="G81" s="39" t="n">
        <v>791</v>
      </c>
      <c r="H81" s="39" t="n">
        <v>28</v>
      </c>
      <c r="I81" s="39" t="n">
        <v>423</v>
      </c>
      <c r="J81" s="39" t="n">
        <v>861</v>
      </c>
      <c r="K81" s="8" t="s">
        <v>1240</v>
      </c>
      <c r="L81" s="41" t="s">
        <v>1443</v>
      </c>
      <c r="M81" s="42" t="n">
        <f aca="false">IFERROR(I81/F81,0)</f>
        <v>0.00575510204081633</v>
      </c>
      <c r="N81" s="42" t="n">
        <f aca="false">IFERROR(J81/F81,0)</f>
        <v>0.0117142857142857</v>
      </c>
      <c r="O81" s="8" t="n">
        <v>0</v>
      </c>
      <c r="P81" s="8" t="n">
        <v>0</v>
      </c>
      <c r="Q81" s="8" t="n">
        <v>0</v>
      </c>
      <c r="R81" s="8" t="n">
        <v>0</v>
      </c>
      <c r="S81" s="8" t="n">
        <v>0</v>
      </c>
      <c r="T81" s="8" t="n">
        <v>1</v>
      </c>
      <c r="U81" s="8" t="n">
        <v>0</v>
      </c>
      <c r="V81" s="8" t="n">
        <v>0</v>
      </c>
      <c r="W81" s="8" t="n">
        <v>0</v>
      </c>
      <c r="X81" s="8" t="n">
        <v>1</v>
      </c>
      <c r="Y81" s="8" t="n">
        <v>0</v>
      </c>
      <c r="Z81" s="8" t="n">
        <v>0</v>
      </c>
      <c r="AA81" s="8" t="n">
        <v>0</v>
      </c>
      <c r="AB81" s="8" t="n">
        <v>0</v>
      </c>
      <c r="AC81" s="8" t="n">
        <v>0</v>
      </c>
      <c r="AD81" s="8" t="n">
        <v>0</v>
      </c>
    </row>
    <row r="82" customFormat="false" ht="15" hidden="false" customHeight="false" outlineLevel="0" collapsed="false">
      <c r="A82" s="38" t="s">
        <v>1444</v>
      </c>
      <c r="B82" s="8" t="s">
        <v>1445</v>
      </c>
      <c r="C82" s="39" t="n">
        <v>3601</v>
      </c>
      <c r="D82" s="40" t="n">
        <v>45941</v>
      </c>
      <c r="E82" s="8" t="n">
        <v>40</v>
      </c>
      <c r="F82" s="39" t="n">
        <v>73000</v>
      </c>
      <c r="G82" s="39" t="n">
        <v>907</v>
      </c>
      <c r="H82" s="39" t="n">
        <v>55</v>
      </c>
      <c r="I82" s="39" t="n">
        <v>823</v>
      </c>
      <c r="J82" s="39" t="n">
        <v>238</v>
      </c>
      <c r="K82" s="8" t="s">
        <v>1243</v>
      </c>
      <c r="L82" s="41" t="s">
        <v>1446</v>
      </c>
      <c r="M82" s="42" t="n">
        <f aca="false">IFERROR(I82/F82,0)</f>
        <v>0.0112739726027397</v>
      </c>
      <c r="N82" s="42" t="n">
        <f aca="false">IFERROR(J82/F82,0)</f>
        <v>0.00326027397260274</v>
      </c>
      <c r="O82" s="8" t="n">
        <v>1</v>
      </c>
      <c r="P82" s="8" t="n">
        <v>0</v>
      </c>
      <c r="Q82" s="8" t="n">
        <v>0</v>
      </c>
      <c r="R82" s="8" t="n">
        <v>1</v>
      </c>
      <c r="S82" s="8" t="n">
        <v>0</v>
      </c>
      <c r="T82" s="8" t="n">
        <v>0</v>
      </c>
      <c r="U82" s="8" t="n">
        <v>0</v>
      </c>
      <c r="V82" s="8" t="n">
        <v>0</v>
      </c>
      <c r="W82" s="8" t="n">
        <v>0</v>
      </c>
      <c r="X82" s="8" t="n">
        <v>0</v>
      </c>
      <c r="Y82" s="8" t="n">
        <v>0</v>
      </c>
      <c r="Z82" s="8" t="n">
        <v>0</v>
      </c>
      <c r="AA82" s="8" t="n">
        <v>0</v>
      </c>
      <c r="AB82" s="8" t="n">
        <v>0</v>
      </c>
      <c r="AC82" s="8" t="n">
        <v>0</v>
      </c>
      <c r="AD82" s="8" t="n">
        <v>0</v>
      </c>
    </row>
    <row r="83" customFormat="false" ht="15" hidden="false" customHeight="false" outlineLevel="0" collapsed="false">
      <c r="A83" s="38" t="s">
        <v>1447</v>
      </c>
      <c r="B83" s="8" t="s">
        <v>1333</v>
      </c>
      <c r="C83" s="39" t="n">
        <v>12400</v>
      </c>
      <c r="D83" s="40" t="n">
        <v>46046</v>
      </c>
      <c r="E83" s="8" t="n">
        <v>38</v>
      </c>
      <c r="F83" s="39" t="n">
        <v>71100</v>
      </c>
      <c r="G83" s="39" t="n">
        <v>1462</v>
      </c>
      <c r="H83" s="39" t="n">
        <v>65</v>
      </c>
      <c r="I83" s="39" t="n">
        <v>82</v>
      </c>
      <c r="J83" s="39" t="n">
        <v>162</v>
      </c>
      <c r="K83" s="8" t="s">
        <v>1240</v>
      </c>
      <c r="L83" s="41" t="s">
        <v>1448</v>
      </c>
      <c r="M83" s="42" t="n">
        <f aca="false">IFERROR(I83/F83,0)</f>
        <v>0.00115330520393812</v>
      </c>
      <c r="N83" s="42" t="n">
        <f aca="false">IFERROR(J83/F83,0)</f>
        <v>0.00227848101265823</v>
      </c>
      <c r="O83" s="8" t="n">
        <v>1</v>
      </c>
      <c r="P83" s="8" t="n">
        <v>0</v>
      </c>
      <c r="Q83" s="8" t="n">
        <v>0</v>
      </c>
      <c r="R83" s="8" t="n">
        <v>0</v>
      </c>
      <c r="S83" s="8" t="n">
        <v>0</v>
      </c>
      <c r="T83" s="8" t="n">
        <v>0</v>
      </c>
      <c r="U83" s="8" t="n">
        <v>0</v>
      </c>
      <c r="V83" s="8" t="n">
        <v>0</v>
      </c>
      <c r="W83" s="8" t="n">
        <v>0</v>
      </c>
      <c r="X83" s="8" t="n">
        <v>0</v>
      </c>
      <c r="Y83" s="8" t="n">
        <v>0</v>
      </c>
      <c r="Z83" s="8" t="n">
        <v>0</v>
      </c>
      <c r="AA83" s="8" t="n">
        <v>0</v>
      </c>
      <c r="AB83" s="8" t="n">
        <v>0</v>
      </c>
      <c r="AC83" s="8" t="n">
        <v>0</v>
      </c>
      <c r="AD83" s="8" t="n">
        <v>0</v>
      </c>
    </row>
    <row r="84" customFormat="false" ht="15" hidden="false" customHeight="false" outlineLevel="0" collapsed="false">
      <c r="A84" s="38" t="s">
        <v>1449</v>
      </c>
      <c r="B84" s="8" t="s">
        <v>1260</v>
      </c>
      <c r="C84" s="39" t="n">
        <v>18100</v>
      </c>
      <c r="D84" s="40" t="n">
        <v>46124</v>
      </c>
      <c r="E84" s="8" t="n">
        <v>32</v>
      </c>
      <c r="F84" s="39" t="n">
        <v>71000</v>
      </c>
      <c r="G84" s="39" t="n">
        <v>1504</v>
      </c>
      <c r="H84" s="39" t="n">
        <v>77</v>
      </c>
      <c r="I84" s="39" t="n">
        <v>641</v>
      </c>
      <c r="J84" s="39" t="n">
        <v>486</v>
      </c>
      <c r="K84" s="8" t="s">
        <v>1243</v>
      </c>
      <c r="L84" s="41" t="s">
        <v>1450</v>
      </c>
      <c r="M84" s="42" t="n">
        <f aca="false">IFERROR(I84/F84,0)</f>
        <v>0.00902816901408451</v>
      </c>
      <c r="N84" s="42" t="n">
        <f aca="false">IFERROR(J84/F84,0)</f>
        <v>0.00684507042253521</v>
      </c>
      <c r="O84" s="8" t="n">
        <v>1</v>
      </c>
      <c r="P84" s="8" t="n">
        <v>0</v>
      </c>
      <c r="Q84" s="8" t="n">
        <v>0</v>
      </c>
      <c r="R84" s="8" t="n">
        <v>1</v>
      </c>
      <c r="S84" s="8" t="n">
        <v>0</v>
      </c>
      <c r="T84" s="8" t="n">
        <v>0</v>
      </c>
      <c r="U84" s="8" t="n">
        <v>0</v>
      </c>
      <c r="V84" s="8" t="n">
        <v>0</v>
      </c>
      <c r="W84" s="8" t="n">
        <v>0</v>
      </c>
      <c r="X84" s="8" t="n">
        <v>0</v>
      </c>
      <c r="Y84" s="8" t="n">
        <v>0</v>
      </c>
      <c r="Z84" s="8" t="n">
        <v>0</v>
      </c>
      <c r="AA84" s="8" t="n">
        <v>0</v>
      </c>
      <c r="AB84" s="8" t="n">
        <v>0</v>
      </c>
      <c r="AC84" s="8" t="n">
        <v>0</v>
      </c>
      <c r="AD84" s="8" t="n">
        <v>0</v>
      </c>
    </row>
    <row r="85" customFormat="false" ht="15" hidden="false" customHeight="false" outlineLevel="0" collapsed="false">
      <c r="A85" s="38" t="s">
        <v>1451</v>
      </c>
      <c r="B85" s="8" t="s">
        <v>1452</v>
      </c>
      <c r="C85" s="39" t="n">
        <v>10700</v>
      </c>
      <c r="D85" s="40" t="n">
        <v>46046</v>
      </c>
      <c r="E85" s="8" t="n">
        <v>18</v>
      </c>
      <c r="F85" s="39" t="n">
        <v>71000</v>
      </c>
      <c r="G85" s="39" t="n">
        <v>4426</v>
      </c>
      <c r="H85" s="39" t="n">
        <v>123</v>
      </c>
      <c r="I85" s="39" t="n">
        <v>130</v>
      </c>
      <c r="J85" s="39" t="n">
        <v>560</v>
      </c>
      <c r="K85" s="8" t="s">
        <v>1240</v>
      </c>
      <c r="L85" s="41" t="s">
        <v>1453</v>
      </c>
      <c r="M85" s="42" t="n">
        <f aca="false">IFERROR(I85/F85,0)</f>
        <v>0.00183098591549296</v>
      </c>
      <c r="N85" s="42" t="n">
        <f aca="false">IFERROR(J85/F85,0)</f>
        <v>0.00788732394366197</v>
      </c>
      <c r="O85" s="8" t="n">
        <v>0</v>
      </c>
      <c r="P85" s="8" t="n">
        <v>0</v>
      </c>
      <c r="Q85" s="8" t="n">
        <v>0</v>
      </c>
      <c r="R85" s="8" t="n">
        <v>0</v>
      </c>
      <c r="S85" s="8" t="n">
        <v>0</v>
      </c>
      <c r="T85" s="8" t="n">
        <v>0</v>
      </c>
      <c r="U85" s="8" t="n">
        <v>0</v>
      </c>
      <c r="V85" s="8" t="n">
        <v>0</v>
      </c>
      <c r="W85" s="8" t="n">
        <v>0</v>
      </c>
      <c r="X85" s="8" t="n">
        <v>0</v>
      </c>
      <c r="Y85" s="8" t="n">
        <v>0</v>
      </c>
      <c r="Z85" s="8" t="n">
        <v>0</v>
      </c>
      <c r="AA85" s="8" t="n">
        <v>0</v>
      </c>
      <c r="AB85" s="8" t="n">
        <v>0</v>
      </c>
      <c r="AC85" s="8" t="n">
        <v>0</v>
      </c>
      <c r="AD85" s="8" t="n">
        <v>0</v>
      </c>
    </row>
    <row r="86" customFormat="false" ht="15" hidden="false" customHeight="false" outlineLevel="0" collapsed="false">
      <c r="A86" s="38" t="s">
        <v>1454</v>
      </c>
      <c r="B86" s="8" t="s">
        <v>1455</v>
      </c>
      <c r="C86" s="39" t="n">
        <v>4836</v>
      </c>
      <c r="D86" s="40" t="n">
        <v>44398</v>
      </c>
      <c r="E86" s="8" t="n">
        <v>180</v>
      </c>
      <c r="F86" s="39" t="n">
        <v>70900</v>
      </c>
      <c r="G86" s="39" t="n">
        <v>482</v>
      </c>
      <c r="H86" s="39" t="n">
        <v>34</v>
      </c>
      <c r="I86" s="39" t="n">
        <v>9</v>
      </c>
      <c r="J86" s="39" t="n">
        <v>8</v>
      </c>
      <c r="K86" s="8" t="s">
        <v>1240</v>
      </c>
      <c r="L86" s="41" t="s">
        <v>1456</v>
      </c>
      <c r="M86" s="42" t="n">
        <f aca="false">IFERROR(I86/F86,0)</f>
        <v>0.000126939351198872</v>
      </c>
      <c r="N86" s="42" t="n">
        <f aca="false">IFERROR(J86/F86,0)</f>
        <v>0.000112834978843441</v>
      </c>
      <c r="O86" s="8" t="n">
        <v>0</v>
      </c>
      <c r="P86" s="8" t="n">
        <v>1</v>
      </c>
      <c r="Q86" s="8" t="n">
        <v>0</v>
      </c>
      <c r="R86" s="8" t="n">
        <v>0</v>
      </c>
      <c r="S86" s="8" t="n">
        <v>0</v>
      </c>
      <c r="T86" s="8" t="n">
        <v>0</v>
      </c>
      <c r="U86" s="8" t="n">
        <v>0</v>
      </c>
      <c r="V86" s="8" t="n">
        <v>0</v>
      </c>
      <c r="W86" s="8" t="n">
        <v>0</v>
      </c>
      <c r="X86" s="8" t="n">
        <v>0</v>
      </c>
      <c r="Y86" s="8" t="n">
        <v>0</v>
      </c>
      <c r="Z86" s="8" t="n">
        <v>0</v>
      </c>
      <c r="AA86" s="8" t="n">
        <v>0</v>
      </c>
      <c r="AB86" s="8" t="n">
        <v>0</v>
      </c>
      <c r="AC86" s="8" t="n">
        <v>0</v>
      </c>
      <c r="AD86" s="8" t="n">
        <v>0</v>
      </c>
    </row>
    <row r="87" customFormat="false" ht="15" hidden="false" customHeight="false" outlineLevel="0" collapsed="false">
      <c r="A87" s="38" t="s">
        <v>1457</v>
      </c>
      <c r="B87" s="8" t="s">
        <v>1271</v>
      </c>
      <c r="C87" s="39" t="n">
        <v>74500</v>
      </c>
      <c r="D87" s="40" t="n">
        <v>44829</v>
      </c>
      <c r="E87" s="8" t="n">
        <v>32</v>
      </c>
      <c r="F87" s="39" t="n">
        <v>69100</v>
      </c>
      <c r="G87" s="39" t="n">
        <v>514</v>
      </c>
      <c r="H87" s="39" t="n">
        <v>19</v>
      </c>
      <c r="I87" s="39" t="n">
        <v>961</v>
      </c>
      <c r="J87" s="39" t="n">
        <v>183</v>
      </c>
      <c r="K87" s="8" t="s">
        <v>1243</v>
      </c>
      <c r="L87" s="41" t="s">
        <v>1458</v>
      </c>
      <c r="M87" s="42" t="n">
        <f aca="false">IFERROR(I87/F87,0)</f>
        <v>0.0139073806078148</v>
      </c>
      <c r="N87" s="42" t="n">
        <f aca="false">IFERROR(J87/F87,0)</f>
        <v>0.00264833574529667</v>
      </c>
      <c r="O87" s="8" t="n">
        <v>1</v>
      </c>
      <c r="P87" s="8" t="n">
        <v>0</v>
      </c>
      <c r="Q87" s="8" t="n">
        <v>0</v>
      </c>
      <c r="R87" s="8" t="n">
        <v>1</v>
      </c>
      <c r="S87" s="8" t="n">
        <v>0</v>
      </c>
      <c r="T87" s="8" t="n">
        <v>0</v>
      </c>
      <c r="U87" s="8" t="n">
        <v>0</v>
      </c>
      <c r="V87" s="8" t="n">
        <v>0</v>
      </c>
      <c r="W87" s="8" t="n">
        <v>0</v>
      </c>
      <c r="X87" s="8" t="n">
        <v>0</v>
      </c>
      <c r="Y87" s="8" t="n">
        <v>0</v>
      </c>
      <c r="Z87" s="8" t="n">
        <v>0</v>
      </c>
      <c r="AA87" s="8" t="n">
        <v>0</v>
      </c>
      <c r="AB87" s="8" t="n">
        <v>0</v>
      </c>
      <c r="AC87" s="8" t="n">
        <v>0</v>
      </c>
      <c r="AD87" s="8" t="n">
        <v>0</v>
      </c>
    </row>
    <row r="88" customFormat="false" ht="15" hidden="false" customHeight="false" outlineLevel="0" collapsed="false">
      <c r="A88" s="38" t="s">
        <v>1459</v>
      </c>
      <c r="B88" s="8" t="s">
        <v>1353</v>
      </c>
      <c r="C88" s="39" t="n">
        <v>12900</v>
      </c>
      <c r="D88" s="40" t="n">
        <v>45688</v>
      </c>
      <c r="E88" s="8" t="n">
        <v>67</v>
      </c>
      <c r="F88" s="39" t="n">
        <v>68100</v>
      </c>
      <c r="G88" s="39" t="n">
        <v>1482</v>
      </c>
      <c r="H88" s="39" t="n">
        <v>49</v>
      </c>
      <c r="I88" s="39" t="n">
        <v>538</v>
      </c>
      <c r="J88" s="39" t="n">
        <v>437</v>
      </c>
      <c r="K88" s="8" t="s">
        <v>1243</v>
      </c>
      <c r="L88" s="41" t="s">
        <v>1460</v>
      </c>
      <c r="M88" s="42" t="n">
        <f aca="false">IFERROR(I88/F88,0)</f>
        <v>0.00790014684287812</v>
      </c>
      <c r="N88" s="42" t="n">
        <f aca="false">IFERROR(J88/F88,0)</f>
        <v>0.00641703377386197</v>
      </c>
      <c r="O88" s="8" t="n">
        <v>0</v>
      </c>
      <c r="P88" s="8" t="n">
        <v>1</v>
      </c>
      <c r="Q88" s="8" t="n">
        <v>0</v>
      </c>
      <c r="R88" s="8" t="n">
        <v>0</v>
      </c>
      <c r="S88" s="8" t="n">
        <v>0</v>
      </c>
      <c r="T88" s="8" t="n">
        <v>0</v>
      </c>
      <c r="U88" s="8" t="n">
        <v>0</v>
      </c>
      <c r="V88" s="8" t="n">
        <v>0</v>
      </c>
      <c r="W88" s="8" t="n">
        <v>0</v>
      </c>
      <c r="X88" s="8" t="n">
        <v>0</v>
      </c>
      <c r="Y88" s="8" t="n">
        <v>1</v>
      </c>
      <c r="Z88" s="8" t="n">
        <v>0</v>
      </c>
      <c r="AA88" s="8" t="n">
        <v>0</v>
      </c>
      <c r="AB88" s="8" t="n">
        <v>0</v>
      </c>
      <c r="AC88" s="8" t="n">
        <v>0</v>
      </c>
      <c r="AD88" s="8" t="n">
        <v>0</v>
      </c>
    </row>
    <row r="89" customFormat="false" ht="15" hidden="false" customHeight="false" outlineLevel="0" collapsed="false">
      <c r="A89" s="38" t="s">
        <v>1461</v>
      </c>
      <c r="B89" s="8" t="s">
        <v>1462</v>
      </c>
      <c r="C89" s="39" t="n">
        <v>22200</v>
      </c>
      <c r="D89" s="40" t="n">
        <v>45999</v>
      </c>
      <c r="E89" s="8" t="n">
        <v>23</v>
      </c>
      <c r="F89" s="39" t="n">
        <v>65600</v>
      </c>
      <c r="G89" s="39" t="n">
        <v>1770</v>
      </c>
      <c r="H89" s="39" t="n">
        <v>38</v>
      </c>
      <c r="I89" s="39" t="n">
        <v>78</v>
      </c>
      <c r="J89" s="39" t="n">
        <v>122</v>
      </c>
      <c r="K89" s="8" t="s">
        <v>1240</v>
      </c>
      <c r="L89" s="41" t="s">
        <v>1463</v>
      </c>
      <c r="M89" s="42" t="n">
        <f aca="false">IFERROR(I89/F89,0)</f>
        <v>0.0011890243902439</v>
      </c>
      <c r="N89" s="42" t="n">
        <f aca="false">IFERROR(J89/F89,0)</f>
        <v>0.00185975609756098</v>
      </c>
      <c r="O89" s="8" t="n">
        <v>0</v>
      </c>
      <c r="P89" s="8" t="n">
        <v>0</v>
      </c>
      <c r="Q89" s="8" t="n">
        <v>0</v>
      </c>
      <c r="R89" s="8" t="n">
        <v>0</v>
      </c>
      <c r="S89" s="8" t="n">
        <v>0</v>
      </c>
      <c r="T89" s="8" t="n">
        <v>0</v>
      </c>
      <c r="U89" s="8" t="n">
        <v>0</v>
      </c>
      <c r="V89" s="8" t="n">
        <v>0</v>
      </c>
      <c r="W89" s="8" t="n">
        <v>1</v>
      </c>
      <c r="X89" s="8" t="n">
        <v>1</v>
      </c>
      <c r="Y89" s="8" t="n">
        <v>0</v>
      </c>
      <c r="Z89" s="8" t="n">
        <v>0</v>
      </c>
      <c r="AA89" s="8" t="n">
        <v>0</v>
      </c>
      <c r="AB89" s="8" t="n">
        <v>0</v>
      </c>
      <c r="AC89" s="8" t="n">
        <v>0</v>
      </c>
      <c r="AD89" s="8" t="n">
        <v>0</v>
      </c>
    </row>
    <row r="90" customFormat="false" ht="15" hidden="false" customHeight="false" outlineLevel="0" collapsed="false">
      <c r="A90" s="38" t="s">
        <v>1464</v>
      </c>
      <c r="B90" s="8" t="s">
        <v>1465</v>
      </c>
      <c r="C90" s="39" t="n">
        <v>24000</v>
      </c>
      <c r="D90" s="40" t="n">
        <v>46043</v>
      </c>
      <c r="E90" s="8" t="n">
        <v>11</v>
      </c>
      <c r="F90" s="39" t="n">
        <v>65500</v>
      </c>
      <c r="G90" s="39" t="n">
        <v>416</v>
      </c>
      <c r="H90" s="39" t="n">
        <v>64</v>
      </c>
      <c r="I90" s="39" t="n">
        <v>19</v>
      </c>
      <c r="J90" s="39" t="n">
        <v>45</v>
      </c>
      <c r="K90" s="8" t="s">
        <v>1240</v>
      </c>
      <c r="L90" s="41" t="s">
        <v>1466</v>
      </c>
      <c r="M90" s="42" t="n">
        <f aca="false">IFERROR(I90/F90,0)</f>
        <v>0.000290076335877863</v>
      </c>
      <c r="N90" s="42" t="n">
        <f aca="false">IFERROR(J90/F90,0)</f>
        <v>0.000687022900763359</v>
      </c>
      <c r="O90" s="8" t="n">
        <v>0</v>
      </c>
      <c r="P90" s="8" t="n">
        <v>0</v>
      </c>
      <c r="Q90" s="8" t="n">
        <v>0</v>
      </c>
      <c r="R90" s="8" t="n">
        <v>0</v>
      </c>
      <c r="S90" s="8" t="n">
        <v>0</v>
      </c>
      <c r="T90" s="8" t="n">
        <v>1</v>
      </c>
      <c r="U90" s="8" t="n">
        <v>0</v>
      </c>
      <c r="V90" s="8" t="n">
        <v>0</v>
      </c>
      <c r="W90" s="8" t="n">
        <v>0</v>
      </c>
      <c r="X90" s="8" t="n">
        <v>0</v>
      </c>
      <c r="Y90" s="8" t="n">
        <v>0</v>
      </c>
      <c r="Z90" s="8" t="n">
        <v>0</v>
      </c>
      <c r="AA90" s="8" t="n">
        <v>0</v>
      </c>
      <c r="AB90" s="8" t="n">
        <v>0</v>
      </c>
      <c r="AC90" s="8" t="n">
        <v>0</v>
      </c>
      <c r="AD90" s="8" t="n">
        <v>0</v>
      </c>
    </row>
    <row r="91" customFormat="false" ht="15" hidden="false" customHeight="false" outlineLevel="0" collapsed="false">
      <c r="A91" s="38" t="s">
        <v>1467</v>
      </c>
      <c r="B91" s="8" t="s">
        <v>1468</v>
      </c>
      <c r="C91" s="39" t="n">
        <v>998</v>
      </c>
      <c r="D91" s="40" t="n">
        <v>46030</v>
      </c>
      <c r="E91" s="8" t="n">
        <v>27</v>
      </c>
      <c r="F91" s="39" t="n">
        <v>65200</v>
      </c>
      <c r="G91" s="39" t="n">
        <v>253</v>
      </c>
      <c r="H91" s="39" t="n">
        <v>7</v>
      </c>
      <c r="I91" s="39" t="n">
        <v>347</v>
      </c>
      <c r="J91" s="39" t="n">
        <v>305</v>
      </c>
      <c r="K91" s="8" t="s">
        <v>1240</v>
      </c>
      <c r="L91" s="41" t="s">
        <v>1469</v>
      </c>
      <c r="M91" s="42" t="n">
        <f aca="false">IFERROR(I91/F91,0)</f>
        <v>0.00532208588957055</v>
      </c>
      <c r="N91" s="42" t="n">
        <f aca="false">IFERROR(J91/F91,0)</f>
        <v>0.00467791411042945</v>
      </c>
      <c r="O91" s="8" t="n">
        <v>0</v>
      </c>
      <c r="P91" s="8" t="n">
        <v>0</v>
      </c>
      <c r="Q91" s="8" t="n">
        <v>0</v>
      </c>
      <c r="R91" s="8" t="n">
        <v>0</v>
      </c>
      <c r="S91" s="8" t="n">
        <v>0</v>
      </c>
      <c r="T91" s="8" t="n">
        <v>0</v>
      </c>
      <c r="U91" s="8" t="n">
        <v>0</v>
      </c>
      <c r="V91" s="8" t="n">
        <v>0</v>
      </c>
      <c r="W91" s="8" t="n">
        <v>0</v>
      </c>
      <c r="X91" s="8" t="n">
        <v>0</v>
      </c>
      <c r="Y91" s="8" t="n">
        <v>0</v>
      </c>
      <c r="Z91" s="8" t="n">
        <v>0</v>
      </c>
      <c r="AA91" s="8" t="n">
        <v>0</v>
      </c>
      <c r="AB91" s="8" t="n">
        <v>0</v>
      </c>
      <c r="AC91" s="8" t="n">
        <v>0</v>
      </c>
      <c r="AD91" s="8" t="n">
        <v>0</v>
      </c>
    </row>
    <row r="92" customFormat="false" ht="15" hidden="false" customHeight="false" outlineLevel="0" collapsed="false">
      <c r="A92" s="38" t="s">
        <v>1470</v>
      </c>
      <c r="B92" s="8" t="s">
        <v>1471</v>
      </c>
      <c r="C92" s="39" t="n">
        <v>12900</v>
      </c>
      <c r="D92" s="40" t="n">
        <v>46203</v>
      </c>
      <c r="E92" s="8" t="n">
        <v>20</v>
      </c>
      <c r="F92" s="39" t="n">
        <v>64000</v>
      </c>
      <c r="G92" s="39" t="n">
        <v>694</v>
      </c>
      <c r="H92" s="39" t="n">
        <v>9</v>
      </c>
      <c r="I92" s="39" t="n">
        <v>226</v>
      </c>
      <c r="J92" s="39" t="n">
        <v>161</v>
      </c>
      <c r="K92" s="8" t="s">
        <v>1243</v>
      </c>
      <c r="L92" s="41" t="s">
        <v>1472</v>
      </c>
      <c r="M92" s="42" t="n">
        <f aca="false">IFERROR(I92/F92,0)</f>
        <v>0.00353125</v>
      </c>
      <c r="N92" s="42" t="n">
        <f aca="false">IFERROR(J92/F92,0)</f>
        <v>0.002515625</v>
      </c>
      <c r="O92" s="8" t="n">
        <v>0</v>
      </c>
      <c r="P92" s="8" t="n">
        <v>1</v>
      </c>
      <c r="Q92" s="8" t="n">
        <v>0</v>
      </c>
      <c r="R92" s="8" t="n">
        <v>0</v>
      </c>
      <c r="S92" s="8" t="n">
        <v>0</v>
      </c>
      <c r="T92" s="8" t="n">
        <v>0</v>
      </c>
      <c r="U92" s="8" t="n">
        <v>0</v>
      </c>
      <c r="V92" s="8" t="n">
        <v>0</v>
      </c>
      <c r="W92" s="8" t="n">
        <v>0</v>
      </c>
      <c r="X92" s="8" t="n">
        <v>0</v>
      </c>
      <c r="Y92" s="8" t="n">
        <v>0</v>
      </c>
      <c r="Z92" s="8" t="n">
        <v>0</v>
      </c>
      <c r="AA92" s="8" t="n">
        <v>0</v>
      </c>
      <c r="AB92" s="8" t="n">
        <v>0</v>
      </c>
      <c r="AC92" s="8" t="n">
        <v>0</v>
      </c>
      <c r="AD92" s="8" t="n">
        <v>0</v>
      </c>
    </row>
    <row r="93" customFormat="false" ht="15" hidden="false" customHeight="false" outlineLevel="0" collapsed="false">
      <c r="A93" s="38" t="s">
        <v>1473</v>
      </c>
      <c r="B93" s="8" t="s">
        <v>1474</v>
      </c>
      <c r="C93" s="39" t="n">
        <v>26900</v>
      </c>
      <c r="D93" s="40" t="n">
        <v>45355</v>
      </c>
      <c r="E93" s="8" t="n">
        <v>40</v>
      </c>
      <c r="F93" s="39" t="n">
        <v>64000</v>
      </c>
      <c r="G93" s="39" t="n">
        <v>395</v>
      </c>
      <c r="H93" s="39" t="n">
        <v>20</v>
      </c>
      <c r="I93" s="39" t="n">
        <v>103</v>
      </c>
      <c r="J93" s="39" t="n">
        <v>109</v>
      </c>
      <c r="K93" s="8" t="s">
        <v>1240</v>
      </c>
      <c r="L93" s="41" t="s">
        <v>1475</v>
      </c>
      <c r="M93" s="42" t="n">
        <f aca="false">IFERROR(I93/F93,0)</f>
        <v>0.001609375</v>
      </c>
      <c r="N93" s="42" t="n">
        <f aca="false">IFERROR(J93/F93,0)</f>
        <v>0.001703125</v>
      </c>
      <c r="O93" s="8" t="n">
        <v>0</v>
      </c>
      <c r="P93" s="8" t="n">
        <v>0</v>
      </c>
      <c r="Q93" s="8" t="n">
        <v>0</v>
      </c>
      <c r="R93" s="8" t="n">
        <v>0</v>
      </c>
      <c r="S93" s="8" t="n">
        <v>0</v>
      </c>
      <c r="T93" s="8" t="n">
        <v>1</v>
      </c>
      <c r="U93" s="8" t="n">
        <v>0</v>
      </c>
      <c r="V93" s="8" t="n">
        <v>0</v>
      </c>
      <c r="W93" s="8" t="n">
        <v>0</v>
      </c>
      <c r="X93" s="8" t="n">
        <v>0</v>
      </c>
      <c r="Y93" s="8" t="n">
        <v>0</v>
      </c>
      <c r="Z93" s="8" t="n">
        <v>0</v>
      </c>
      <c r="AA93" s="8" t="n">
        <v>0</v>
      </c>
      <c r="AB93" s="8" t="n">
        <v>0</v>
      </c>
      <c r="AC93" s="8" t="n">
        <v>0</v>
      </c>
      <c r="AD93" s="8" t="n">
        <v>0</v>
      </c>
    </row>
    <row r="94" customFormat="false" ht="15" hidden="false" customHeight="false" outlineLevel="0" collapsed="false">
      <c r="A94" s="38" t="s">
        <v>1476</v>
      </c>
      <c r="B94" s="8" t="s">
        <v>1477</v>
      </c>
      <c r="C94" s="39" t="n">
        <v>22400</v>
      </c>
      <c r="D94" s="40" t="n">
        <v>46042</v>
      </c>
      <c r="E94" s="8" t="n">
        <v>8</v>
      </c>
      <c r="F94" s="39" t="n">
        <v>63000</v>
      </c>
      <c r="G94" s="39" t="n">
        <v>1861</v>
      </c>
      <c r="H94" s="39" t="n">
        <v>21</v>
      </c>
      <c r="I94" s="39" t="n">
        <v>96</v>
      </c>
      <c r="J94" s="39" t="n">
        <v>152</v>
      </c>
      <c r="K94" s="8" t="s">
        <v>1240</v>
      </c>
      <c r="L94" s="41" t="s">
        <v>1478</v>
      </c>
      <c r="M94" s="42" t="n">
        <f aca="false">IFERROR(I94/F94,0)</f>
        <v>0.00152380952380952</v>
      </c>
      <c r="N94" s="42" t="n">
        <f aca="false">IFERROR(J94/F94,0)</f>
        <v>0.00241269841269841</v>
      </c>
      <c r="O94" s="8" t="n">
        <v>0</v>
      </c>
      <c r="P94" s="8" t="n">
        <v>0</v>
      </c>
      <c r="Q94" s="8" t="n">
        <v>0</v>
      </c>
      <c r="R94" s="8" t="n">
        <v>0</v>
      </c>
      <c r="S94" s="8" t="n">
        <v>0</v>
      </c>
      <c r="T94" s="8" t="n">
        <v>1</v>
      </c>
      <c r="U94" s="8" t="n">
        <v>0</v>
      </c>
      <c r="V94" s="8" t="n">
        <v>0</v>
      </c>
      <c r="W94" s="8" t="n">
        <v>1</v>
      </c>
      <c r="X94" s="8" t="n">
        <v>1</v>
      </c>
      <c r="Y94" s="8" t="n">
        <v>0</v>
      </c>
      <c r="Z94" s="8" t="n">
        <v>0</v>
      </c>
      <c r="AA94" s="8" t="n">
        <v>0</v>
      </c>
      <c r="AB94" s="8" t="n">
        <v>0</v>
      </c>
      <c r="AC94" s="8" t="n">
        <v>0</v>
      </c>
      <c r="AD94" s="8" t="n">
        <v>0</v>
      </c>
    </row>
    <row r="95" customFormat="false" ht="15" hidden="false" customHeight="false" outlineLevel="0" collapsed="false">
      <c r="A95" s="38" t="s">
        <v>1479</v>
      </c>
      <c r="B95" s="8" t="s">
        <v>1480</v>
      </c>
      <c r="C95" s="39" t="n">
        <v>1142</v>
      </c>
      <c r="D95" s="40" t="n">
        <v>46194</v>
      </c>
      <c r="E95" s="8" t="n">
        <v>21</v>
      </c>
      <c r="F95" s="39" t="n">
        <v>57700</v>
      </c>
      <c r="G95" s="39" t="n">
        <v>1518</v>
      </c>
      <c r="H95" s="39" t="n">
        <v>19</v>
      </c>
      <c r="I95" s="39" t="n">
        <v>42</v>
      </c>
      <c r="J95" s="39" t="n">
        <v>143</v>
      </c>
      <c r="K95" s="8" t="s">
        <v>1243</v>
      </c>
      <c r="L95" s="41" t="s">
        <v>1481</v>
      </c>
      <c r="M95" s="42" t="n">
        <f aca="false">IFERROR(I95/F95,0)</f>
        <v>0.00072790294627383</v>
      </c>
      <c r="N95" s="42" t="n">
        <f aca="false">IFERROR(J95/F95,0)</f>
        <v>0.00247833622183709</v>
      </c>
      <c r="O95" s="8" t="n">
        <v>0</v>
      </c>
      <c r="P95" s="8" t="n">
        <v>0</v>
      </c>
      <c r="Q95" s="8" t="n">
        <v>0</v>
      </c>
      <c r="R95" s="8" t="n">
        <v>0</v>
      </c>
      <c r="S95" s="8" t="n">
        <v>0</v>
      </c>
      <c r="T95" s="8" t="n">
        <v>0</v>
      </c>
      <c r="U95" s="8" t="n">
        <v>0</v>
      </c>
      <c r="V95" s="8" t="n">
        <v>0</v>
      </c>
      <c r="W95" s="8" t="n">
        <v>0</v>
      </c>
      <c r="X95" s="8" t="n">
        <v>0</v>
      </c>
      <c r="Y95" s="8" t="n">
        <v>0</v>
      </c>
      <c r="Z95" s="8" t="n">
        <v>0</v>
      </c>
      <c r="AA95" s="8" t="n">
        <v>0</v>
      </c>
      <c r="AB95" s="8" t="n">
        <v>0</v>
      </c>
      <c r="AC95" s="8" t="n">
        <v>0</v>
      </c>
      <c r="AD95" s="8" t="n">
        <v>0</v>
      </c>
    </row>
    <row r="96" customFormat="false" ht="15" hidden="false" customHeight="false" outlineLevel="0" collapsed="false">
      <c r="A96" s="38" t="s">
        <v>1482</v>
      </c>
      <c r="B96" s="8" t="s">
        <v>1483</v>
      </c>
      <c r="C96" s="39" t="n">
        <v>13400</v>
      </c>
      <c r="D96" s="40" t="n">
        <v>46219</v>
      </c>
      <c r="E96" s="8" t="n">
        <v>94</v>
      </c>
      <c r="F96" s="39" t="n">
        <v>57300</v>
      </c>
      <c r="G96" s="39" t="n">
        <v>924</v>
      </c>
      <c r="H96" s="39" t="n">
        <v>53</v>
      </c>
      <c r="I96" s="39" t="n">
        <v>594</v>
      </c>
      <c r="J96" s="39" t="n">
        <v>550</v>
      </c>
      <c r="K96" s="8" t="s">
        <v>1243</v>
      </c>
      <c r="L96" s="41" t="s">
        <v>1484</v>
      </c>
      <c r="M96" s="42" t="n">
        <f aca="false">IFERROR(I96/F96,0)</f>
        <v>0.0103664921465969</v>
      </c>
      <c r="N96" s="42" t="n">
        <f aca="false">IFERROR(J96/F96,0)</f>
        <v>0.00959860383944154</v>
      </c>
      <c r="O96" s="8" t="n">
        <v>1</v>
      </c>
      <c r="P96" s="8" t="n">
        <v>0</v>
      </c>
      <c r="Q96" s="8" t="n">
        <v>0</v>
      </c>
      <c r="R96" s="8" t="n">
        <v>1</v>
      </c>
      <c r="S96" s="8" t="n">
        <v>0</v>
      </c>
      <c r="T96" s="8" t="n">
        <v>0</v>
      </c>
      <c r="U96" s="8" t="n">
        <v>0</v>
      </c>
      <c r="V96" s="8" t="n">
        <v>0</v>
      </c>
      <c r="W96" s="8" t="n">
        <v>0</v>
      </c>
      <c r="X96" s="8" t="n">
        <v>0</v>
      </c>
      <c r="Y96" s="8" t="n">
        <v>0</v>
      </c>
      <c r="Z96" s="8" t="n">
        <v>0</v>
      </c>
      <c r="AA96" s="8" t="n">
        <v>0</v>
      </c>
      <c r="AB96" s="8" t="n">
        <v>0</v>
      </c>
      <c r="AC96" s="8" t="n">
        <v>0</v>
      </c>
      <c r="AD96" s="8" t="n">
        <v>0</v>
      </c>
    </row>
    <row r="97" customFormat="false" ht="15" hidden="false" customHeight="false" outlineLevel="0" collapsed="false">
      <c r="A97" s="38" t="s">
        <v>1485</v>
      </c>
      <c r="B97" s="8" t="s">
        <v>1376</v>
      </c>
      <c r="C97" s="39" t="n">
        <v>20700</v>
      </c>
      <c r="D97" s="40" t="n">
        <v>46132</v>
      </c>
      <c r="E97" s="8" t="n">
        <v>13</v>
      </c>
      <c r="F97" s="39" t="n">
        <v>57100</v>
      </c>
      <c r="G97" s="39" t="n">
        <v>466</v>
      </c>
      <c r="H97" s="39" t="n">
        <v>38</v>
      </c>
      <c r="I97" s="39" t="n">
        <v>200</v>
      </c>
      <c r="J97" s="39" t="n">
        <v>95</v>
      </c>
      <c r="K97" s="8" t="s">
        <v>1243</v>
      </c>
      <c r="L97" s="41" t="s">
        <v>1486</v>
      </c>
      <c r="M97" s="42" t="n">
        <f aca="false">IFERROR(I97/F97,0)</f>
        <v>0.00350262697022767</v>
      </c>
      <c r="N97" s="42" t="n">
        <f aca="false">IFERROR(J97/F97,0)</f>
        <v>0.00166374781085814</v>
      </c>
      <c r="O97" s="8" t="n">
        <v>1</v>
      </c>
      <c r="P97" s="8" t="n">
        <v>0</v>
      </c>
      <c r="Q97" s="8" t="n">
        <v>0</v>
      </c>
      <c r="R97" s="8" t="n">
        <v>1</v>
      </c>
      <c r="S97" s="8" t="n">
        <v>0</v>
      </c>
      <c r="T97" s="8" t="n">
        <v>0</v>
      </c>
      <c r="U97" s="8" t="n">
        <v>0</v>
      </c>
      <c r="V97" s="8" t="n">
        <v>0</v>
      </c>
      <c r="W97" s="8" t="n">
        <v>0</v>
      </c>
      <c r="X97" s="8" t="n">
        <v>0</v>
      </c>
      <c r="Y97" s="8" t="n">
        <v>0</v>
      </c>
      <c r="Z97" s="8" t="n">
        <v>0</v>
      </c>
      <c r="AA97" s="8" t="n">
        <v>0</v>
      </c>
      <c r="AB97" s="8" t="n">
        <v>0</v>
      </c>
      <c r="AC97" s="8" t="n">
        <v>0</v>
      </c>
      <c r="AD97" s="8" t="n">
        <v>0</v>
      </c>
    </row>
    <row r="98" customFormat="false" ht="15" hidden="false" customHeight="false" outlineLevel="0" collapsed="false">
      <c r="A98" s="38" t="s">
        <v>1487</v>
      </c>
      <c r="B98" s="8" t="s">
        <v>1488</v>
      </c>
      <c r="C98" s="39" t="n">
        <v>14300</v>
      </c>
      <c r="D98" s="40" t="n">
        <v>46055</v>
      </c>
      <c r="E98" s="8" t="n">
        <v>79</v>
      </c>
      <c r="F98" s="39" t="n">
        <v>57000</v>
      </c>
      <c r="G98" s="39" t="n">
        <v>459</v>
      </c>
      <c r="H98" s="39" t="n">
        <v>40</v>
      </c>
      <c r="I98" s="39" t="n">
        <v>351</v>
      </c>
      <c r="J98" s="39" t="n">
        <v>346</v>
      </c>
      <c r="K98" s="8" t="s">
        <v>1240</v>
      </c>
      <c r="L98" s="41" t="s">
        <v>1489</v>
      </c>
      <c r="M98" s="42" t="n">
        <f aca="false">IFERROR(I98/F98,0)</f>
        <v>0.00615789473684211</v>
      </c>
      <c r="N98" s="42" t="n">
        <f aca="false">IFERROR(J98/F98,0)</f>
        <v>0.00607017543859649</v>
      </c>
      <c r="O98" s="8" t="n">
        <v>0</v>
      </c>
      <c r="P98" s="8" t="n">
        <v>0</v>
      </c>
      <c r="Q98" s="8" t="n">
        <v>1</v>
      </c>
      <c r="R98" s="8" t="n">
        <v>0</v>
      </c>
      <c r="S98" s="8" t="n">
        <v>0</v>
      </c>
      <c r="T98" s="8" t="n">
        <v>0</v>
      </c>
      <c r="U98" s="8" t="n">
        <v>0</v>
      </c>
      <c r="V98" s="8" t="n">
        <v>1</v>
      </c>
      <c r="W98" s="8" t="n">
        <v>0</v>
      </c>
      <c r="X98" s="8" t="n">
        <v>0</v>
      </c>
      <c r="Y98" s="8" t="n">
        <v>0</v>
      </c>
      <c r="Z98" s="8" t="n">
        <v>0</v>
      </c>
      <c r="AA98" s="8" t="n">
        <v>0</v>
      </c>
      <c r="AB98" s="8" t="n">
        <v>0</v>
      </c>
      <c r="AC98" s="8" t="n">
        <v>0</v>
      </c>
      <c r="AD98" s="8" t="n">
        <v>0</v>
      </c>
    </row>
    <row r="99" customFormat="false" ht="15" hidden="false" customHeight="false" outlineLevel="0" collapsed="false">
      <c r="A99" s="38" t="s">
        <v>1490</v>
      </c>
      <c r="B99" s="8" t="s">
        <v>1462</v>
      </c>
      <c r="C99" s="39" t="n">
        <v>22200</v>
      </c>
      <c r="D99" s="40" t="n">
        <v>46066</v>
      </c>
      <c r="E99" s="8" t="n">
        <v>23</v>
      </c>
      <c r="F99" s="39" t="n">
        <v>56900</v>
      </c>
      <c r="G99" s="39" t="n">
        <v>1054</v>
      </c>
      <c r="H99" s="39" t="n">
        <v>21</v>
      </c>
      <c r="I99" s="39" t="n">
        <v>76</v>
      </c>
      <c r="J99" s="39" t="n">
        <v>136</v>
      </c>
      <c r="K99" s="8" t="s">
        <v>1240</v>
      </c>
      <c r="L99" s="41" t="s">
        <v>1491</v>
      </c>
      <c r="M99" s="42" t="n">
        <f aca="false">IFERROR(I99/F99,0)</f>
        <v>0.00133567662565905</v>
      </c>
      <c r="N99" s="42" t="n">
        <f aca="false">IFERROR(J99/F99,0)</f>
        <v>0.00239015817223199</v>
      </c>
      <c r="O99" s="8" t="n">
        <v>0</v>
      </c>
      <c r="P99" s="8" t="n">
        <v>0</v>
      </c>
      <c r="Q99" s="8" t="n">
        <v>0</v>
      </c>
      <c r="R99" s="8" t="n">
        <v>0</v>
      </c>
      <c r="S99" s="8" t="n">
        <v>0</v>
      </c>
      <c r="T99" s="8" t="n">
        <v>0</v>
      </c>
      <c r="U99" s="8" t="n">
        <v>0</v>
      </c>
      <c r="V99" s="8" t="n">
        <v>0</v>
      </c>
      <c r="W99" s="8" t="n">
        <v>1</v>
      </c>
      <c r="X99" s="8" t="n">
        <v>1</v>
      </c>
      <c r="Y99" s="8" t="n">
        <v>0</v>
      </c>
      <c r="Z99" s="8" t="n">
        <v>0</v>
      </c>
      <c r="AA99" s="8" t="n">
        <v>0</v>
      </c>
      <c r="AB99" s="8" t="n">
        <v>0</v>
      </c>
      <c r="AC99" s="8" t="n">
        <v>0</v>
      </c>
      <c r="AD99" s="8" t="n">
        <v>0</v>
      </c>
    </row>
    <row r="100" customFormat="false" ht="15" hidden="false" customHeight="false" outlineLevel="0" collapsed="false">
      <c r="A100" s="38" t="s">
        <v>1492</v>
      </c>
      <c r="B100" s="8" t="s">
        <v>1493</v>
      </c>
      <c r="C100" s="39" t="n">
        <v>12400</v>
      </c>
      <c r="D100" s="40" t="n">
        <v>46063</v>
      </c>
      <c r="E100" s="8" t="n">
        <v>19</v>
      </c>
      <c r="F100" s="39" t="n">
        <v>52500</v>
      </c>
      <c r="G100" s="39" t="n">
        <v>318</v>
      </c>
      <c r="H100" s="39" t="n">
        <v>40</v>
      </c>
      <c r="I100" s="39" t="n">
        <v>276</v>
      </c>
      <c r="J100" s="39" t="n">
        <v>259</v>
      </c>
      <c r="K100" s="8" t="s">
        <v>1240</v>
      </c>
      <c r="L100" s="41" t="s">
        <v>1494</v>
      </c>
      <c r="M100" s="42" t="n">
        <f aca="false">IFERROR(I100/F100,0)</f>
        <v>0.00525714285714286</v>
      </c>
      <c r="N100" s="42" t="n">
        <f aca="false">IFERROR(J100/F100,0)</f>
        <v>0.00493333333333333</v>
      </c>
      <c r="O100" s="8" t="n">
        <v>0</v>
      </c>
      <c r="P100" s="8" t="n">
        <v>1</v>
      </c>
      <c r="Q100" s="8" t="n">
        <v>0</v>
      </c>
      <c r="R100" s="8" t="n">
        <v>0</v>
      </c>
      <c r="S100" s="8" t="n">
        <v>0</v>
      </c>
      <c r="T100" s="8" t="n">
        <v>1</v>
      </c>
      <c r="U100" s="8" t="n">
        <v>0</v>
      </c>
      <c r="V100" s="8" t="n">
        <v>0</v>
      </c>
      <c r="W100" s="8" t="n">
        <v>0</v>
      </c>
      <c r="X100" s="8" t="n">
        <v>1</v>
      </c>
      <c r="Y100" s="8" t="n">
        <v>0</v>
      </c>
      <c r="Z100" s="8" t="n">
        <v>0</v>
      </c>
      <c r="AA100" s="8" t="n">
        <v>0</v>
      </c>
      <c r="AB100" s="8" t="n">
        <v>0</v>
      </c>
      <c r="AC100" s="8" t="n">
        <v>0</v>
      </c>
      <c r="AD100" s="8" t="n">
        <v>0</v>
      </c>
    </row>
    <row r="101" customFormat="false" ht="15" hidden="false" customHeight="false" outlineLevel="0" collapsed="false">
      <c r="A101" s="38" t="s">
        <v>1495</v>
      </c>
      <c r="B101" s="8" t="s">
        <v>1496</v>
      </c>
      <c r="C101" s="39" t="n">
        <v>12800</v>
      </c>
      <c r="D101" s="40" t="n">
        <v>46094</v>
      </c>
      <c r="E101" s="8" t="n">
        <v>39</v>
      </c>
      <c r="F101" s="39" t="n">
        <v>52300</v>
      </c>
      <c r="G101" s="39" t="n">
        <v>556</v>
      </c>
      <c r="H101" s="39" t="n">
        <v>41</v>
      </c>
      <c r="I101" s="39" t="n">
        <v>397</v>
      </c>
      <c r="J101" s="39" t="n">
        <v>262</v>
      </c>
      <c r="K101" s="8" t="s">
        <v>1243</v>
      </c>
      <c r="L101" s="41" t="s">
        <v>1497</v>
      </c>
      <c r="M101" s="42" t="n">
        <f aca="false">IFERROR(I101/F101,0)</f>
        <v>0.00759082217973231</v>
      </c>
      <c r="N101" s="42" t="n">
        <f aca="false">IFERROR(J101/F101,0)</f>
        <v>0.00500956022944551</v>
      </c>
      <c r="O101" s="8" t="n">
        <v>0</v>
      </c>
      <c r="P101" s="8" t="n">
        <v>0</v>
      </c>
      <c r="Q101" s="8" t="n">
        <v>1</v>
      </c>
      <c r="R101" s="8" t="n">
        <v>0</v>
      </c>
      <c r="S101" s="8" t="n">
        <v>0</v>
      </c>
      <c r="T101" s="8" t="n">
        <v>0</v>
      </c>
      <c r="U101" s="8" t="n">
        <v>1</v>
      </c>
      <c r="V101" s="8" t="n">
        <v>1</v>
      </c>
      <c r="W101" s="8" t="n">
        <v>0</v>
      </c>
      <c r="X101" s="8" t="n">
        <v>0</v>
      </c>
      <c r="Y101" s="8" t="n">
        <v>0</v>
      </c>
      <c r="Z101" s="8" t="n">
        <v>0</v>
      </c>
      <c r="AA101" s="8" t="n">
        <v>0</v>
      </c>
      <c r="AB101" s="8" t="n">
        <v>0</v>
      </c>
      <c r="AC101" s="8" t="n">
        <v>0</v>
      </c>
      <c r="AD101" s="8" t="n">
        <v>0</v>
      </c>
    </row>
    <row r="102" customFormat="false" ht="15" hidden="false" customHeight="false" outlineLevel="0" collapsed="false">
      <c r="A102" s="38" t="s">
        <v>1498</v>
      </c>
      <c r="B102" s="8" t="s">
        <v>1239</v>
      </c>
      <c r="C102" s="39" t="n">
        <v>206000</v>
      </c>
      <c r="D102" s="40" t="n">
        <v>46183</v>
      </c>
      <c r="E102" s="8" t="n">
        <v>20</v>
      </c>
      <c r="F102" s="39" t="n">
        <v>51300</v>
      </c>
      <c r="G102" s="39" t="n">
        <v>622</v>
      </c>
      <c r="H102" s="39" t="n">
        <v>26</v>
      </c>
      <c r="I102" s="39" t="n">
        <v>404</v>
      </c>
      <c r="J102" s="39" t="n">
        <v>355</v>
      </c>
      <c r="K102" s="8" t="s">
        <v>1240</v>
      </c>
      <c r="L102" s="41" t="s">
        <v>1499</v>
      </c>
      <c r="M102" s="42" t="n">
        <f aca="false">IFERROR(I102/F102,0)</f>
        <v>0.00787524366471735</v>
      </c>
      <c r="N102" s="42" t="n">
        <f aca="false">IFERROR(J102/F102,0)</f>
        <v>0.00692007797270955</v>
      </c>
      <c r="O102" s="8" t="n">
        <v>0</v>
      </c>
      <c r="P102" s="8" t="n">
        <v>0</v>
      </c>
      <c r="Q102" s="8" t="n">
        <v>0</v>
      </c>
      <c r="R102" s="8" t="n">
        <v>0</v>
      </c>
      <c r="S102" s="8" t="n">
        <v>0</v>
      </c>
      <c r="T102" s="8" t="n">
        <v>1</v>
      </c>
      <c r="U102" s="8" t="n">
        <v>0</v>
      </c>
      <c r="V102" s="8" t="n">
        <v>0</v>
      </c>
      <c r="W102" s="8" t="n">
        <v>0</v>
      </c>
      <c r="X102" s="8" t="n">
        <v>1</v>
      </c>
      <c r="Y102" s="8" t="n">
        <v>0</v>
      </c>
      <c r="Z102" s="8" t="n">
        <v>0</v>
      </c>
      <c r="AA102" s="8" t="n">
        <v>0</v>
      </c>
      <c r="AB102" s="8" t="n">
        <v>0</v>
      </c>
      <c r="AC102" s="8" t="n">
        <v>0</v>
      </c>
      <c r="AD102" s="8" t="n">
        <v>0</v>
      </c>
    </row>
    <row r="103" customFormat="false" ht="15" hidden="false" customHeight="false" outlineLevel="0" collapsed="false">
      <c r="A103" s="38" t="s">
        <v>1500</v>
      </c>
      <c r="B103" s="8" t="s">
        <v>1376</v>
      </c>
      <c r="C103" s="39" t="n">
        <v>20700</v>
      </c>
      <c r="D103" s="40" t="n">
        <v>45981</v>
      </c>
      <c r="E103" s="8" t="n">
        <v>59</v>
      </c>
      <c r="F103" s="39" t="n">
        <v>50200</v>
      </c>
      <c r="G103" s="39" t="n">
        <v>614</v>
      </c>
      <c r="H103" s="39" t="n">
        <v>45</v>
      </c>
      <c r="I103" s="39" t="n">
        <v>624</v>
      </c>
      <c r="J103" s="39" t="n">
        <v>160</v>
      </c>
      <c r="K103" s="8" t="s">
        <v>1243</v>
      </c>
      <c r="L103" s="41" t="s">
        <v>1501</v>
      </c>
      <c r="M103" s="42" t="n">
        <f aca="false">IFERROR(I103/F103,0)</f>
        <v>0.0124302788844622</v>
      </c>
      <c r="N103" s="42" t="n">
        <f aca="false">IFERROR(J103/F103,0)</f>
        <v>0.00318725099601594</v>
      </c>
      <c r="O103" s="8" t="n">
        <v>1</v>
      </c>
      <c r="P103" s="8" t="n">
        <v>0</v>
      </c>
      <c r="Q103" s="8" t="n">
        <v>0</v>
      </c>
      <c r="R103" s="8" t="n">
        <v>1</v>
      </c>
      <c r="S103" s="8" t="n">
        <v>0</v>
      </c>
      <c r="T103" s="8" t="n">
        <v>0</v>
      </c>
      <c r="U103" s="8" t="n">
        <v>0</v>
      </c>
      <c r="V103" s="8" t="n">
        <v>0</v>
      </c>
      <c r="W103" s="8" t="n">
        <v>0</v>
      </c>
      <c r="X103" s="8" t="n">
        <v>0</v>
      </c>
      <c r="Y103" s="8" t="n">
        <v>0</v>
      </c>
      <c r="Z103" s="8" t="n">
        <v>0</v>
      </c>
      <c r="AA103" s="8" t="n">
        <v>0</v>
      </c>
      <c r="AB103" s="8" t="n">
        <v>0</v>
      </c>
      <c r="AC103" s="8" t="n">
        <v>0</v>
      </c>
      <c r="AD103" s="8" t="n">
        <v>0</v>
      </c>
    </row>
    <row r="104" customFormat="false" ht="15" hidden="false" customHeight="false" outlineLevel="0" collapsed="false">
      <c r="A104" s="38" t="s">
        <v>1502</v>
      </c>
      <c r="B104" s="8" t="s">
        <v>1296</v>
      </c>
      <c r="C104" s="39" t="n">
        <v>47400</v>
      </c>
      <c r="D104" s="40" t="n">
        <v>45071</v>
      </c>
      <c r="E104" s="8" t="n">
        <v>364</v>
      </c>
      <c r="F104" s="39" t="n">
        <v>50200</v>
      </c>
      <c r="G104" s="39" t="n">
        <v>803</v>
      </c>
      <c r="H104" s="39" t="n">
        <v>50</v>
      </c>
      <c r="I104" s="39" t="n">
        <v>259</v>
      </c>
      <c r="J104" s="39" t="n">
        <v>214</v>
      </c>
      <c r="K104" s="8" t="s">
        <v>1243</v>
      </c>
      <c r="L104" s="41" t="s">
        <v>1503</v>
      </c>
      <c r="M104" s="42" t="n">
        <f aca="false">IFERROR(I104/F104,0)</f>
        <v>0.0051593625498008</v>
      </c>
      <c r="N104" s="42" t="n">
        <f aca="false">IFERROR(J104/F104,0)</f>
        <v>0.00426294820717132</v>
      </c>
      <c r="O104" s="8" t="n">
        <v>1</v>
      </c>
      <c r="P104" s="8" t="n">
        <v>0</v>
      </c>
      <c r="Q104" s="8" t="n">
        <v>0</v>
      </c>
      <c r="R104" s="8" t="n">
        <v>1</v>
      </c>
      <c r="S104" s="8" t="n">
        <v>0</v>
      </c>
      <c r="T104" s="8" t="n">
        <v>0</v>
      </c>
      <c r="U104" s="8" t="n">
        <v>0</v>
      </c>
      <c r="V104" s="8" t="n">
        <v>0</v>
      </c>
      <c r="W104" s="8" t="n">
        <v>0</v>
      </c>
      <c r="X104" s="8" t="n">
        <v>0</v>
      </c>
      <c r="Y104" s="8" t="n">
        <v>0</v>
      </c>
      <c r="Z104" s="8" t="n">
        <v>0</v>
      </c>
      <c r="AA104" s="8" t="n">
        <v>0</v>
      </c>
      <c r="AB104" s="8" t="n">
        <v>0</v>
      </c>
      <c r="AC104" s="8" t="n">
        <v>0</v>
      </c>
      <c r="AD104" s="8" t="n">
        <v>0</v>
      </c>
    </row>
    <row r="105" customFormat="false" ht="15" hidden="false" customHeight="false" outlineLevel="0" collapsed="false">
      <c r="A105" s="38" t="s">
        <v>1504</v>
      </c>
      <c r="B105" s="8" t="s">
        <v>1505</v>
      </c>
      <c r="C105" s="39" t="n">
        <v>30100</v>
      </c>
      <c r="D105" s="40" t="n">
        <v>45761</v>
      </c>
      <c r="E105" s="8" t="n">
        <v>71</v>
      </c>
      <c r="F105" s="39" t="n">
        <v>50200</v>
      </c>
      <c r="G105" s="39" t="n">
        <v>436</v>
      </c>
      <c r="H105" s="39" t="n">
        <v>18</v>
      </c>
      <c r="I105" s="39" t="n">
        <v>181</v>
      </c>
      <c r="J105" s="39" t="n">
        <v>111</v>
      </c>
      <c r="K105" s="8" t="s">
        <v>1243</v>
      </c>
      <c r="L105" s="41" t="s">
        <v>1506</v>
      </c>
      <c r="M105" s="42" t="n">
        <f aca="false">IFERROR(I105/F105,0)</f>
        <v>0.00360557768924303</v>
      </c>
      <c r="N105" s="42" t="n">
        <f aca="false">IFERROR(J105/F105,0)</f>
        <v>0.00221115537848606</v>
      </c>
      <c r="O105" s="8" t="n">
        <v>1</v>
      </c>
      <c r="P105" s="8" t="n">
        <v>0</v>
      </c>
      <c r="Q105" s="8" t="n">
        <v>1</v>
      </c>
      <c r="R105" s="8" t="n">
        <v>0</v>
      </c>
      <c r="S105" s="8" t="n">
        <v>0</v>
      </c>
      <c r="T105" s="8" t="n">
        <v>0</v>
      </c>
      <c r="U105" s="8" t="n">
        <v>0</v>
      </c>
      <c r="V105" s="8" t="n">
        <v>0</v>
      </c>
      <c r="W105" s="8" t="n">
        <v>0</v>
      </c>
      <c r="X105" s="8" t="n">
        <v>0</v>
      </c>
      <c r="Y105" s="8" t="n">
        <v>0</v>
      </c>
      <c r="Z105" s="8" t="n">
        <v>0</v>
      </c>
      <c r="AA105" s="8" t="n">
        <v>0</v>
      </c>
      <c r="AB105" s="8" t="n">
        <v>0</v>
      </c>
      <c r="AC105" s="8" t="n">
        <v>0</v>
      </c>
      <c r="AD105" s="8" t="n">
        <v>0</v>
      </c>
    </row>
    <row r="106" customFormat="false" ht="15" hidden="false" customHeight="false" outlineLevel="0" collapsed="false">
      <c r="A106" s="38" t="s">
        <v>1507</v>
      </c>
      <c r="B106" s="8" t="s">
        <v>1496</v>
      </c>
      <c r="C106" s="39" t="n">
        <v>12800</v>
      </c>
      <c r="D106" s="40" t="n">
        <v>46051</v>
      </c>
      <c r="E106" s="8" t="n">
        <v>36</v>
      </c>
      <c r="F106" s="39" t="n">
        <v>47000</v>
      </c>
      <c r="G106" s="39" t="n">
        <v>477</v>
      </c>
      <c r="H106" s="39" t="n">
        <v>34</v>
      </c>
      <c r="I106" s="39" t="n">
        <v>507</v>
      </c>
      <c r="J106" s="39" t="n">
        <v>331</v>
      </c>
      <c r="K106" s="8" t="s">
        <v>1243</v>
      </c>
      <c r="L106" s="41" t="s">
        <v>1497</v>
      </c>
      <c r="M106" s="42" t="n">
        <f aca="false">IFERROR(I106/F106,0)</f>
        <v>0.0107872340425532</v>
      </c>
      <c r="N106" s="42" t="n">
        <f aca="false">IFERROR(J106/F106,0)</f>
        <v>0.00704255319148936</v>
      </c>
      <c r="O106" s="8" t="n">
        <v>0</v>
      </c>
      <c r="P106" s="8" t="n">
        <v>0</v>
      </c>
      <c r="Q106" s="8" t="n">
        <v>1</v>
      </c>
      <c r="R106" s="8" t="n">
        <v>0</v>
      </c>
      <c r="S106" s="8" t="n">
        <v>0</v>
      </c>
      <c r="T106" s="8" t="n">
        <v>0</v>
      </c>
      <c r="U106" s="8" t="n">
        <v>1</v>
      </c>
      <c r="V106" s="8" t="n">
        <v>1</v>
      </c>
      <c r="W106" s="8" t="n">
        <v>0</v>
      </c>
      <c r="X106" s="8" t="n">
        <v>0</v>
      </c>
      <c r="Y106" s="8" t="n">
        <v>0</v>
      </c>
      <c r="Z106" s="8" t="n">
        <v>0</v>
      </c>
      <c r="AA106" s="8" t="n">
        <v>0</v>
      </c>
      <c r="AB106" s="8" t="n">
        <v>0</v>
      </c>
      <c r="AC106" s="8" t="n">
        <v>0</v>
      </c>
      <c r="AD106" s="8" t="n">
        <v>0</v>
      </c>
    </row>
    <row r="107" customFormat="false" ht="15" hidden="false" customHeight="false" outlineLevel="0" collapsed="false">
      <c r="A107" s="38" t="s">
        <v>1508</v>
      </c>
      <c r="B107" s="8" t="s">
        <v>1296</v>
      </c>
      <c r="C107" s="39" t="n">
        <v>47400</v>
      </c>
      <c r="D107" s="40" t="n">
        <v>44696</v>
      </c>
      <c r="E107" s="8" t="n">
        <v>79</v>
      </c>
      <c r="F107" s="39" t="n">
        <v>45700</v>
      </c>
      <c r="G107" s="39" t="n">
        <v>563</v>
      </c>
      <c r="H107" s="39" t="n">
        <v>64</v>
      </c>
      <c r="I107" s="39" t="n">
        <v>479</v>
      </c>
      <c r="J107" s="39" t="n">
        <v>168</v>
      </c>
      <c r="K107" s="8" t="s">
        <v>1243</v>
      </c>
      <c r="L107" s="41" t="s">
        <v>1509</v>
      </c>
      <c r="M107" s="42" t="n">
        <f aca="false">IFERROR(I107/F107,0)</f>
        <v>0.0104814004376368</v>
      </c>
      <c r="N107" s="42" t="n">
        <f aca="false">IFERROR(J107/F107,0)</f>
        <v>0.00367614879649891</v>
      </c>
      <c r="O107" s="8" t="n">
        <v>1</v>
      </c>
      <c r="P107" s="8" t="n">
        <v>0</v>
      </c>
      <c r="Q107" s="8" t="n">
        <v>0</v>
      </c>
      <c r="R107" s="8" t="n">
        <v>1</v>
      </c>
      <c r="S107" s="8" t="n">
        <v>0</v>
      </c>
      <c r="T107" s="8" t="n">
        <v>0</v>
      </c>
      <c r="U107" s="8" t="n">
        <v>0</v>
      </c>
      <c r="V107" s="8" t="n">
        <v>0</v>
      </c>
      <c r="W107" s="8" t="n">
        <v>0</v>
      </c>
      <c r="X107" s="8" t="n">
        <v>0</v>
      </c>
      <c r="Y107" s="8" t="n">
        <v>0</v>
      </c>
      <c r="Z107" s="8" t="n">
        <v>0</v>
      </c>
      <c r="AA107" s="8" t="n">
        <v>0</v>
      </c>
      <c r="AB107" s="8" t="n">
        <v>0</v>
      </c>
      <c r="AC107" s="8" t="n">
        <v>0</v>
      </c>
      <c r="AD107" s="8" t="n">
        <v>0</v>
      </c>
    </row>
    <row r="108" customFormat="false" ht="15" hidden="false" customHeight="false" outlineLevel="0" collapsed="false">
      <c r="A108" s="38" t="s">
        <v>1510</v>
      </c>
      <c r="B108" s="8" t="s">
        <v>1258</v>
      </c>
      <c r="C108" s="39" t="n">
        <v>12100</v>
      </c>
      <c r="D108" s="40" t="n">
        <v>46171</v>
      </c>
      <c r="E108" s="8" t="n">
        <v>141</v>
      </c>
      <c r="F108" s="39" t="n">
        <v>44500</v>
      </c>
      <c r="G108" s="39" t="n">
        <v>1450</v>
      </c>
      <c r="H108" s="39" t="n">
        <v>47</v>
      </c>
      <c r="I108" s="39" t="n">
        <v>509</v>
      </c>
      <c r="J108" s="39" t="n">
        <v>509</v>
      </c>
      <c r="K108" s="8" t="s">
        <v>1240</v>
      </c>
      <c r="L108" s="41" t="s">
        <v>1511</v>
      </c>
      <c r="M108" s="42" t="n">
        <f aca="false">IFERROR(I108/F108,0)</f>
        <v>0.011438202247191</v>
      </c>
      <c r="N108" s="42" t="n">
        <f aca="false">IFERROR(J108/F108,0)</f>
        <v>0.011438202247191</v>
      </c>
      <c r="O108" s="8" t="n">
        <v>0</v>
      </c>
      <c r="P108" s="8" t="n">
        <v>0</v>
      </c>
      <c r="Q108" s="8" t="n">
        <v>0</v>
      </c>
      <c r="R108" s="8" t="n">
        <v>0</v>
      </c>
      <c r="S108" s="8" t="n">
        <v>0</v>
      </c>
      <c r="T108" s="8" t="n">
        <v>1</v>
      </c>
      <c r="U108" s="8" t="n">
        <v>0</v>
      </c>
      <c r="V108" s="8" t="n">
        <v>0</v>
      </c>
      <c r="W108" s="8" t="n">
        <v>0</v>
      </c>
      <c r="X108" s="8" t="n">
        <v>1</v>
      </c>
      <c r="Y108" s="8" t="n">
        <v>0</v>
      </c>
      <c r="Z108" s="8" t="n">
        <v>0</v>
      </c>
      <c r="AA108" s="8" t="n">
        <v>0</v>
      </c>
      <c r="AB108" s="8" t="n">
        <v>0</v>
      </c>
      <c r="AC108" s="8" t="n">
        <v>0</v>
      </c>
      <c r="AD108" s="8" t="n">
        <v>0</v>
      </c>
    </row>
    <row r="109" customFormat="false" ht="15" hidden="false" customHeight="false" outlineLevel="0" collapsed="false">
      <c r="A109" s="38" t="s">
        <v>1512</v>
      </c>
      <c r="B109" s="8" t="s">
        <v>1513</v>
      </c>
      <c r="C109" s="39" t="n">
        <v>694</v>
      </c>
      <c r="D109" s="40" t="n">
        <v>46151</v>
      </c>
      <c r="E109" s="8" t="n">
        <v>13</v>
      </c>
      <c r="F109" s="39" t="n">
        <v>43300</v>
      </c>
      <c r="G109" s="39" t="n">
        <v>732</v>
      </c>
      <c r="H109" s="39" t="n">
        <v>4</v>
      </c>
      <c r="I109" s="39" t="n">
        <v>27</v>
      </c>
      <c r="J109" s="39" t="n">
        <v>43</v>
      </c>
      <c r="K109" s="8" t="s">
        <v>1243</v>
      </c>
      <c r="L109" s="41" t="s">
        <v>1514</v>
      </c>
      <c r="M109" s="42" t="n">
        <f aca="false">IFERROR(I109/F109,0)</f>
        <v>0.000623556581986143</v>
      </c>
      <c r="N109" s="42" t="n">
        <f aca="false">IFERROR(J109/F109,0)</f>
        <v>0.000993071593533487</v>
      </c>
      <c r="O109" s="8" t="n">
        <v>0</v>
      </c>
      <c r="P109" s="8" t="n">
        <v>0</v>
      </c>
      <c r="Q109" s="8" t="n">
        <v>1</v>
      </c>
      <c r="R109" s="8" t="n">
        <v>0</v>
      </c>
      <c r="S109" s="8" t="n">
        <v>0</v>
      </c>
      <c r="T109" s="8" t="n">
        <v>1</v>
      </c>
      <c r="U109" s="8" t="n">
        <v>1</v>
      </c>
      <c r="V109" s="8" t="n">
        <v>1</v>
      </c>
      <c r="W109" s="8" t="n">
        <v>1</v>
      </c>
      <c r="X109" s="8" t="n">
        <v>0</v>
      </c>
      <c r="Y109" s="8" t="n">
        <v>0</v>
      </c>
      <c r="Z109" s="8" t="n">
        <v>1</v>
      </c>
      <c r="AA109" s="8" t="n">
        <v>0</v>
      </c>
      <c r="AB109" s="8" t="n">
        <v>0</v>
      </c>
      <c r="AC109" s="8" t="n">
        <v>0</v>
      </c>
      <c r="AD109" s="8" t="n">
        <v>0</v>
      </c>
    </row>
    <row r="110" customFormat="false" ht="15" hidden="false" customHeight="false" outlineLevel="0" collapsed="false">
      <c r="A110" s="38" t="s">
        <v>1515</v>
      </c>
      <c r="B110" s="8" t="s">
        <v>1516</v>
      </c>
      <c r="C110" s="39" t="n">
        <v>1041</v>
      </c>
      <c r="D110" s="40" t="n">
        <v>46141</v>
      </c>
      <c r="E110" s="8" t="n">
        <v>50</v>
      </c>
      <c r="F110" s="39" t="n">
        <v>43100</v>
      </c>
      <c r="G110" s="39" t="n">
        <v>1028</v>
      </c>
      <c r="H110" s="39" t="n">
        <v>27</v>
      </c>
      <c r="I110" s="39" t="n">
        <v>221</v>
      </c>
      <c r="J110" s="39" t="n">
        <v>180</v>
      </c>
      <c r="K110" s="8" t="s">
        <v>1243</v>
      </c>
      <c r="L110" s="41" t="s">
        <v>1517</v>
      </c>
      <c r="M110" s="42" t="n">
        <f aca="false">IFERROR(I110/F110,0)</f>
        <v>0.00512761020881671</v>
      </c>
      <c r="N110" s="42" t="n">
        <f aca="false">IFERROR(J110/F110,0)</f>
        <v>0.00417633410672854</v>
      </c>
      <c r="O110" s="8" t="n">
        <v>0</v>
      </c>
      <c r="P110" s="8" t="n">
        <v>0</v>
      </c>
      <c r="Q110" s="8" t="n">
        <v>0</v>
      </c>
      <c r="R110" s="8" t="n">
        <v>0</v>
      </c>
      <c r="S110" s="8" t="n">
        <v>0</v>
      </c>
      <c r="T110" s="8" t="n">
        <v>0</v>
      </c>
      <c r="U110" s="8" t="n">
        <v>0</v>
      </c>
      <c r="V110" s="8" t="n">
        <v>0</v>
      </c>
      <c r="W110" s="8" t="n">
        <v>0</v>
      </c>
      <c r="X110" s="8" t="n">
        <v>0</v>
      </c>
      <c r="Y110" s="8" t="n">
        <v>0</v>
      </c>
      <c r="Z110" s="8" t="n">
        <v>0</v>
      </c>
      <c r="AA110" s="8" t="n">
        <v>0</v>
      </c>
      <c r="AB110" s="8" t="n">
        <v>1</v>
      </c>
      <c r="AC110" s="8" t="n">
        <v>0</v>
      </c>
      <c r="AD110" s="8" t="n">
        <v>0</v>
      </c>
    </row>
    <row r="111" customFormat="false" ht="15" hidden="false" customHeight="false" outlineLevel="0" collapsed="false">
      <c r="A111" s="38" t="s">
        <v>1518</v>
      </c>
      <c r="B111" s="8" t="s">
        <v>1519</v>
      </c>
      <c r="C111" s="39" t="n">
        <v>808</v>
      </c>
      <c r="D111" s="40" t="n">
        <v>46159</v>
      </c>
      <c r="E111" s="8" t="n">
        <v>29</v>
      </c>
      <c r="F111" s="39" t="n">
        <v>42800</v>
      </c>
      <c r="G111" s="39" t="n">
        <v>840</v>
      </c>
      <c r="H111" s="39" t="n">
        <v>24</v>
      </c>
      <c r="I111" s="39" t="n">
        <v>148</v>
      </c>
      <c r="J111" s="39" t="n">
        <v>127</v>
      </c>
      <c r="K111" s="8" t="s">
        <v>1243</v>
      </c>
      <c r="L111" s="41" t="s">
        <v>1520</v>
      </c>
      <c r="M111" s="42" t="n">
        <f aca="false">IFERROR(I111/F111,0)</f>
        <v>0.00345794392523364</v>
      </c>
      <c r="N111" s="42" t="n">
        <f aca="false">IFERROR(J111/F111,0)</f>
        <v>0.00296728971962617</v>
      </c>
      <c r="O111" s="8" t="n">
        <v>1</v>
      </c>
      <c r="P111" s="8" t="n">
        <v>1</v>
      </c>
      <c r="Q111" s="8" t="n">
        <v>0</v>
      </c>
      <c r="R111" s="8" t="n">
        <v>1</v>
      </c>
      <c r="S111" s="8" t="n">
        <v>0</v>
      </c>
      <c r="T111" s="8" t="n">
        <v>0</v>
      </c>
      <c r="U111" s="8" t="n">
        <v>0</v>
      </c>
      <c r="V111" s="8" t="n">
        <v>0</v>
      </c>
      <c r="W111" s="8" t="n">
        <v>0</v>
      </c>
      <c r="X111" s="8" t="n">
        <v>0</v>
      </c>
      <c r="Y111" s="8" t="n">
        <v>0</v>
      </c>
      <c r="Z111" s="8" t="n">
        <v>0</v>
      </c>
      <c r="AA111" s="8" t="n">
        <v>0</v>
      </c>
      <c r="AB111" s="8" t="n">
        <v>0</v>
      </c>
      <c r="AC111" s="8" t="n">
        <v>0</v>
      </c>
      <c r="AD111" s="8" t="n">
        <v>0</v>
      </c>
    </row>
    <row r="112" customFormat="false" ht="15" hidden="false" customHeight="false" outlineLevel="0" collapsed="false">
      <c r="A112" s="38" t="s">
        <v>1521</v>
      </c>
      <c r="B112" s="8" t="s">
        <v>1522</v>
      </c>
      <c r="C112" s="39" t="n">
        <v>1141</v>
      </c>
      <c r="D112" s="40" t="n">
        <v>46139</v>
      </c>
      <c r="E112" s="8" t="n">
        <v>23</v>
      </c>
      <c r="F112" s="39" t="n">
        <v>41800</v>
      </c>
      <c r="G112" s="39" t="n">
        <v>407</v>
      </c>
      <c r="H112" s="39" t="n">
        <v>13</v>
      </c>
      <c r="I112" s="39" t="n">
        <v>57</v>
      </c>
      <c r="J112" s="39" t="n">
        <v>79</v>
      </c>
      <c r="K112" s="8" t="s">
        <v>1240</v>
      </c>
      <c r="L112" s="41" t="s">
        <v>1523</v>
      </c>
      <c r="M112" s="42" t="n">
        <f aca="false">IFERROR(I112/F112,0)</f>
        <v>0.00136363636363636</v>
      </c>
      <c r="N112" s="42" t="n">
        <f aca="false">IFERROR(J112/F112,0)</f>
        <v>0.00188995215311005</v>
      </c>
      <c r="O112" s="8" t="n">
        <v>0</v>
      </c>
      <c r="P112" s="8" t="n">
        <v>0</v>
      </c>
      <c r="Q112" s="8" t="n">
        <v>0</v>
      </c>
      <c r="R112" s="8" t="n">
        <v>0</v>
      </c>
      <c r="S112" s="8" t="n">
        <v>0</v>
      </c>
      <c r="T112" s="8" t="n">
        <v>0</v>
      </c>
      <c r="U112" s="8" t="n">
        <v>0</v>
      </c>
      <c r="V112" s="8" t="n">
        <v>0</v>
      </c>
      <c r="W112" s="8" t="n">
        <v>1</v>
      </c>
      <c r="X112" s="8" t="n">
        <v>1</v>
      </c>
      <c r="Y112" s="8" t="n">
        <v>0</v>
      </c>
      <c r="Z112" s="8" t="n">
        <v>0</v>
      </c>
      <c r="AA112" s="8" t="n">
        <v>0</v>
      </c>
      <c r="AB112" s="8" t="n">
        <v>0</v>
      </c>
      <c r="AC112" s="8" t="n">
        <v>0</v>
      </c>
      <c r="AD112" s="8" t="n">
        <v>1</v>
      </c>
    </row>
    <row r="113" customFormat="false" ht="15" hidden="false" customHeight="false" outlineLevel="0" collapsed="false">
      <c r="A113" s="38" t="s">
        <v>1524</v>
      </c>
      <c r="B113" s="8" t="s">
        <v>1525</v>
      </c>
      <c r="C113" s="39" t="n">
        <v>6801</v>
      </c>
      <c r="D113" s="40" t="n">
        <v>46063</v>
      </c>
      <c r="E113" s="8" t="n">
        <v>123</v>
      </c>
      <c r="F113" s="39" t="n">
        <v>41800</v>
      </c>
      <c r="G113" s="39" t="n">
        <v>398</v>
      </c>
      <c r="H113" s="39" t="n">
        <v>35</v>
      </c>
      <c r="I113" s="39" t="n">
        <v>266</v>
      </c>
      <c r="J113" s="39" t="n">
        <v>89</v>
      </c>
      <c r="K113" s="8" t="s">
        <v>1243</v>
      </c>
      <c r="L113" s="41" t="s">
        <v>1526</v>
      </c>
      <c r="M113" s="42" t="n">
        <f aca="false">IFERROR(I113/F113,0)</f>
        <v>0.00636363636363636</v>
      </c>
      <c r="N113" s="42" t="n">
        <f aca="false">IFERROR(J113/F113,0)</f>
        <v>0.00212918660287081</v>
      </c>
      <c r="O113" s="8" t="n">
        <v>1</v>
      </c>
      <c r="P113" s="8" t="n">
        <v>0</v>
      </c>
      <c r="Q113" s="8" t="n">
        <v>0</v>
      </c>
      <c r="R113" s="8" t="n">
        <v>1</v>
      </c>
      <c r="S113" s="8" t="n">
        <v>0</v>
      </c>
      <c r="T113" s="8" t="n">
        <v>0</v>
      </c>
      <c r="U113" s="8" t="n">
        <v>0</v>
      </c>
      <c r="V113" s="8" t="n">
        <v>0</v>
      </c>
      <c r="W113" s="8" t="n">
        <v>0</v>
      </c>
      <c r="X113" s="8" t="n">
        <v>0</v>
      </c>
      <c r="Y113" s="8" t="n">
        <v>0</v>
      </c>
      <c r="Z113" s="8" t="n">
        <v>0</v>
      </c>
      <c r="AA113" s="8" t="n">
        <v>0</v>
      </c>
      <c r="AB113" s="8" t="n">
        <v>0</v>
      </c>
      <c r="AC113" s="8" t="n">
        <v>0</v>
      </c>
      <c r="AD113" s="8" t="n">
        <v>0</v>
      </c>
    </row>
    <row r="114" customFormat="false" ht="15" hidden="false" customHeight="false" outlineLevel="0" collapsed="false">
      <c r="A114" s="38" t="s">
        <v>1527</v>
      </c>
      <c r="B114" s="8" t="s">
        <v>1528</v>
      </c>
      <c r="C114" s="39" t="n">
        <v>7829</v>
      </c>
      <c r="D114" s="40" t="n">
        <v>45245</v>
      </c>
      <c r="E114" s="8" t="n">
        <v>31</v>
      </c>
      <c r="F114" s="39" t="n">
        <v>41400</v>
      </c>
      <c r="G114" s="39" t="n">
        <v>651</v>
      </c>
      <c r="H114" s="39" t="n">
        <v>46</v>
      </c>
      <c r="I114" s="39" t="n">
        <v>133</v>
      </c>
      <c r="J114" s="39" t="n">
        <v>236</v>
      </c>
      <c r="K114" s="8" t="s">
        <v>1243</v>
      </c>
      <c r="L114" s="41" t="s">
        <v>1529</v>
      </c>
      <c r="M114" s="42" t="n">
        <f aca="false">IFERROR(I114/F114,0)</f>
        <v>0.00321256038647343</v>
      </c>
      <c r="N114" s="42" t="n">
        <f aca="false">IFERROR(J114/F114,0)</f>
        <v>0.00570048309178744</v>
      </c>
      <c r="O114" s="8" t="n">
        <v>1</v>
      </c>
      <c r="P114" s="8" t="n">
        <v>0</v>
      </c>
      <c r="Q114" s="8" t="n">
        <v>1</v>
      </c>
      <c r="R114" s="8" t="n">
        <v>1</v>
      </c>
      <c r="S114" s="8" t="n">
        <v>0</v>
      </c>
      <c r="T114" s="8" t="n">
        <v>0</v>
      </c>
      <c r="U114" s="8" t="n">
        <v>0</v>
      </c>
      <c r="V114" s="8" t="n">
        <v>0</v>
      </c>
      <c r="W114" s="8" t="n">
        <v>0</v>
      </c>
      <c r="X114" s="8" t="n">
        <v>0</v>
      </c>
      <c r="Y114" s="8" t="n">
        <v>0</v>
      </c>
      <c r="Z114" s="8" t="n">
        <v>0</v>
      </c>
      <c r="AA114" s="8" t="n">
        <v>0</v>
      </c>
      <c r="AB114" s="8" t="n">
        <v>0</v>
      </c>
      <c r="AC114" s="8" t="n">
        <v>0</v>
      </c>
      <c r="AD114" s="8" t="n">
        <v>0</v>
      </c>
    </row>
    <row r="115" customFormat="false" ht="15" hidden="false" customHeight="false" outlineLevel="0" collapsed="false">
      <c r="A115" s="38" t="s">
        <v>1530</v>
      </c>
      <c r="B115" s="8" t="s">
        <v>1531</v>
      </c>
      <c r="C115" s="39" t="n">
        <v>451</v>
      </c>
      <c r="D115" s="40" t="n">
        <v>46013</v>
      </c>
      <c r="E115" s="8" t="n">
        <v>9</v>
      </c>
      <c r="F115" s="39" t="n">
        <v>40900</v>
      </c>
      <c r="G115" s="39" t="n">
        <v>192</v>
      </c>
      <c r="H115" s="39" t="n">
        <v>6</v>
      </c>
      <c r="I115" s="39" t="n">
        <v>255</v>
      </c>
      <c r="J115" s="39" t="n">
        <v>175</v>
      </c>
      <c r="K115" s="8" t="s">
        <v>1240</v>
      </c>
      <c r="L115" s="41" t="s">
        <v>1532</v>
      </c>
      <c r="M115" s="42" t="n">
        <f aca="false">IFERROR(I115/F115,0)</f>
        <v>0.00623471882640587</v>
      </c>
      <c r="N115" s="42" t="n">
        <f aca="false">IFERROR(J115/F115,0)</f>
        <v>0.00427872860635697</v>
      </c>
      <c r="O115" s="8" t="n">
        <v>0</v>
      </c>
      <c r="P115" s="8" t="n">
        <v>0</v>
      </c>
      <c r="Q115" s="8" t="n">
        <v>0</v>
      </c>
      <c r="R115" s="8" t="n">
        <v>0</v>
      </c>
      <c r="S115" s="8" t="n">
        <v>0</v>
      </c>
      <c r="T115" s="8" t="n">
        <v>1</v>
      </c>
      <c r="U115" s="8" t="n">
        <v>0</v>
      </c>
      <c r="V115" s="8" t="n">
        <v>0</v>
      </c>
      <c r="W115" s="8" t="n">
        <v>0</v>
      </c>
      <c r="X115" s="8" t="n">
        <v>1</v>
      </c>
      <c r="Y115" s="8" t="n">
        <v>0</v>
      </c>
      <c r="Z115" s="8" t="n">
        <v>0</v>
      </c>
      <c r="AA115" s="8" t="n">
        <v>0</v>
      </c>
      <c r="AB115" s="8" t="n">
        <v>0</v>
      </c>
      <c r="AC115" s="8" t="n">
        <v>0</v>
      </c>
      <c r="AD115" s="8" t="n">
        <v>0</v>
      </c>
    </row>
    <row r="116" customFormat="false" ht="15" hidden="false" customHeight="false" outlineLevel="0" collapsed="false">
      <c r="A116" s="38" t="s">
        <v>1533</v>
      </c>
      <c r="B116" s="8" t="s">
        <v>1534</v>
      </c>
      <c r="C116" s="39" t="n">
        <v>1172</v>
      </c>
      <c r="D116" s="40" t="n">
        <v>45742</v>
      </c>
      <c r="E116" s="8" t="n">
        <v>9</v>
      </c>
      <c r="F116" s="39" t="n">
        <v>40800</v>
      </c>
      <c r="G116" s="39" t="n">
        <v>267</v>
      </c>
      <c r="H116" s="39" t="n">
        <v>10</v>
      </c>
      <c r="I116" s="39" t="n">
        <v>230</v>
      </c>
      <c r="J116" s="39" t="n">
        <v>236</v>
      </c>
      <c r="K116" s="8" t="s">
        <v>1240</v>
      </c>
      <c r="L116" s="41" t="s">
        <v>1535</v>
      </c>
      <c r="M116" s="42" t="n">
        <f aca="false">IFERROR(I116/F116,0)</f>
        <v>0.00563725490196078</v>
      </c>
      <c r="N116" s="42" t="n">
        <f aca="false">IFERROR(J116/F116,0)</f>
        <v>0.0057843137254902</v>
      </c>
      <c r="O116" s="8" t="n">
        <v>0</v>
      </c>
      <c r="P116" s="8" t="n">
        <v>0</v>
      </c>
      <c r="Q116" s="8" t="n">
        <v>0</v>
      </c>
      <c r="R116" s="8" t="n">
        <v>0</v>
      </c>
      <c r="S116" s="8" t="n">
        <v>0</v>
      </c>
      <c r="T116" s="8" t="n">
        <v>1</v>
      </c>
      <c r="U116" s="8" t="n">
        <v>0</v>
      </c>
      <c r="V116" s="8" t="n">
        <v>0</v>
      </c>
      <c r="W116" s="8" t="n">
        <v>0</v>
      </c>
      <c r="X116" s="8" t="n">
        <v>1</v>
      </c>
      <c r="Y116" s="8" t="n">
        <v>0</v>
      </c>
      <c r="Z116" s="8" t="n">
        <v>0</v>
      </c>
      <c r="AA116" s="8" t="n">
        <v>0</v>
      </c>
      <c r="AB116" s="8" t="n">
        <v>0</v>
      </c>
      <c r="AC116" s="8" t="n">
        <v>0</v>
      </c>
      <c r="AD116" s="8" t="n">
        <v>0</v>
      </c>
    </row>
    <row r="117" customFormat="false" ht="15" hidden="false" customHeight="false" outlineLevel="0" collapsed="false">
      <c r="A117" s="38" t="s">
        <v>1536</v>
      </c>
      <c r="B117" s="8" t="s">
        <v>1537</v>
      </c>
      <c r="C117" s="39" t="n">
        <v>68500</v>
      </c>
      <c r="D117" s="40" t="n">
        <v>45737</v>
      </c>
      <c r="E117" s="8" t="n">
        <v>13</v>
      </c>
      <c r="F117" s="39" t="n">
        <v>40300</v>
      </c>
      <c r="G117" s="39" t="n">
        <v>495</v>
      </c>
      <c r="H117" s="39" t="n">
        <v>22</v>
      </c>
      <c r="I117" s="39" t="n">
        <v>80</v>
      </c>
      <c r="J117" s="39" t="n">
        <v>98</v>
      </c>
      <c r="K117" s="8" t="s">
        <v>1240</v>
      </c>
      <c r="L117" s="41" t="s">
        <v>1538</v>
      </c>
      <c r="M117" s="42" t="n">
        <f aca="false">IFERROR(I117/F117,0)</f>
        <v>0.00198511166253102</v>
      </c>
      <c r="N117" s="42" t="n">
        <f aca="false">IFERROR(J117/F117,0)</f>
        <v>0.0024317617866005</v>
      </c>
      <c r="O117" s="8" t="n">
        <v>0</v>
      </c>
      <c r="P117" s="8" t="n">
        <v>0</v>
      </c>
      <c r="Q117" s="8" t="n">
        <v>0</v>
      </c>
      <c r="R117" s="8" t="n">
        <v>0</v>
      </c>
      <c r="S117" s="8" t="n">
        <v>0</v>
      </c>
      <c r="T117" s="8" t="n">
        <v>1</v>
      </c>
      <c r="U117" s="8" t="n">
        <v>0</v>
      </c>
      <c r="V117" s="8" t="n">
        <v>0</v>
      </c>
      <c r="W117" s="8" t="n">
        <v>0</v>
      </c>
      <c r="X117" s="8" t="n">
        <v>1</v>
      </c>
      <c r="Y117" s="8" t="n">
        <v>0</v>
      </c>
      <c r="Z117" s="8" t="n">
        <v>0</v>
      </c>
      <c r="AA117" s="8" t="n">
        <v>0</v>
      </c>
      <c r="AB117" s="8" t="n">
        <v>0</v>
      </c>
      <c r="AC117" s="8" t="n">
        <v>0</v>
      </c>
      <c r="AD117" s="8" t="n">
        <v>0</v>
      </c>
    </row>
    <row r="118" customFormat="false" ht="15" hidden="false" customHeight="false" outlineLevel="0" collapsed="false">
      <c r="A118" s="38" t="s">
        <v>1539</v>
      </c>
      <c r="B118" s="8" t="s">
        <v>1353</v>
      </c>
      <c r="C118" s="39" t="n">
        <v>12900</v>
      </c>
      <c r="D118" s="40" t="n">
        <v>45720</v>
      </c>
      <c r="E118" s="8" t="n">
        <v>56</v>
      </c>
      <c r="F118" s="39" t="n">
        <v>39500</v>
      </c>
      <c r="G118" s="39" t="n">
        <v>339</v>
      </c>
      <c r="H118" s="39" t="n">
        <v>20</v>
      </c>
      <c r="I118" s="39" t="n">
        <v>132</v>
      </c>
      <c r="J118" s="39" t="n">
        <v>38</v>
      </c>
      <c r="K118" s="8" t="s">
        <v>1243</v>
      </c>
      <c r="L118" s="41" t="s">
        <v>1540</v>
      </c>
      <c r="M118" s="42" t="n">
        <f aca="false">IFERROR(I118/F118,0)</f>
        <v>0.00334177215189873</v>
      </c>
      <c r="N118" s="42" t="n">
        <f aca="false">IFERROR(J118/F118,0)</f>
        <v>0.000962025316455696</v>
      </c>
      <c r="O118" s="8" t="n">
        <v>0</v>
      </c>
      <c r="P118" s="8" t="n">
        <v>1</v>
      </c>
      <c r="Q118" s="8" t="n">
        <v>0</v>
      </c>
      <c r="R118" s="8" t="n">
        <v>0</v>
      </c>
      <c r="S118" s="8" t="n">
        <v>0</v>
      </c>
      <c r="T118" s="8" t="n">
        <v>0</v>
      </c>
      <c r="U118" s="8" t="n">
        <v>0</v>
      </c>
      <c r="V118" s="8" t="n">
        <v>0</v>
      </c>
      <c r="W118" s="8" t="n">
        <v>0</v>
      </c>
      <c r="X118" s="8" t="n">
        <v>0</v>
      </c>
      <c r="Y118" s="8" t="n">
        <v>1</v>
      </c>
      <c r="Z118" s="8" t="n">
        <v>0</v>
      </c>
      <c r="AA118" s="8" t="n">
        <v>0</v>
      </c>
      <c r="AB118" s="8" t="n">
        <v>0</v>
      </c>
      <c r="AC118" s="8" t="n">
        <v>0</v>
      </c>
      <c r="AD118" s="8" t="n">
        <v>0</v>
      </c>
    </row>
    <row r="119" customFormat="false" ht="15" hidden="false" customHeight="false" outlineLevel="0" collapsed="false">
      <c r="A119" s="38" t="s">
        <v>1541</v>
      </c>
      <c r="B119" s="8" t="s">
        <v>1455</v>
      </c>
      <c r="C119" s="39" t="n">
        <v>4836</v>
      </c>
      <c r="D119" s="40" t="n">
        <v>44398</v>
      </c>
      <c r="E119" s="8" t="n">
        <v>176</v>
      </c>
      <c r="F119" s="39" t="n">
        <v>39200</v>
      </c>
      <c r="G119" s="39" t="n">
        <v>332</v>
      </c>
      <c r="H119" s="39" t="n">
        <v>3</v>
      </c>
      <c r="I119" s="39" t="n">
        <v>6</v>
      </c>
      <c r="J119" s="39" t="n">
        <v>6</v>
      </c>
      <c r="K119" s="8" t="s">
        <v>1240</v>
      </c>
      <c r="L119" s="41" t="s">
        <v>1542</v>
      </c>
      <c r="M119" s="42" t="n">
        <f aca="false">IFERROR(I119/F119,0)</f>
        <v>0.000153061224489796</v>
      </c>
      <c r="N119" s="42" t="n">
        <f aca="false">IFERROR(J119/F119,0)</f>
        <v>0.000153061224489796</v>
      </c>
      <c r="O119" s="8" t="n">
        <v>0</v>
      </c>
      <c r="P119" s="8" t="n">
        <v>1</v>
      </c>
      <c r="Q119" s="8" t="n">
        <v>0</v>
      </c>
      <c r="R119" s="8" t="n">
        <v>0</v>
      </c>
      <c r="S119" s="8" t="n">
        <v>0</v>
      </c>
      <c r="T119" s="8" t="n">
        <v>0</v>
      </c>
      <c r="U119" s="8" t="n">
        <v>0</v>
      </c>
      <c r="V119" s="8" t="n">
        <v>0</v>
      </c>
      <c r="W119" s="8" t="n">
        <v>0</v>
      </c>
      <c r="X119" s="8" t="n">
        <v>0</v>
      </c>
      <c r="Y119" s="8" t="n">
        <v>0</v>
      </c>
      <c r="Z119" s="8" t="n">
        <v>0</v>
      </c>
      <c r="AA119" s="8" t="n">
        <v>0</v>
      </c>
      <c r="AB119" s="8" t="n">
        <v>0</v>
      </c>
      <c r="AC119" s="8" t="n">
        <v>0</v>
      </c>
      <c r="AD119" s="8" t="n">
        <v>0</v>
      </c>
    </row>
    <row r="120" customFormat="false" ht="15" hidden="false" customHeight="false" outlineLevel="0" collapsed="false">
      <c r="A120" s="38" t="s">
        <v>1543</v>
      </c>
      <c r="B120" s="8" t="s">
        <v>1528</v>
      </c>
      <c r="C120" s="39" t="n">
        <v>7829</v>
      </c>
      <c r="D120" s="40" t="n">
        <v>45266</v>
      </c>
      <c r="E120" s="8" t="n">
        <v>59</v>
      </c>
      <c r="F120" s="39" t="n">
        <v>38000</v>
      </c>
      <c r="G120" s="39" t="n">
        <v>480</v>
      </c>
      <c r="H120" s="39" t="n">
        <v>32</v>
      </c>
      <c r="I120" s="39" t="n">
        <v>208</v>
      </c>
      <c r="J120" s="39" t="n">
        <v>124</v>
      </c>
      <c r="K120" s="8" t="s">
        <v>1243</v>
      </c>
      <c r="L120" s="41" t="s">
        <v>1544</v>
      </c>
      <c r="M120" s="42" t="n">
        <f aca="false">IFERROR(I120/F120,0)</f>
        <v>0.00547368421052632</v>
      </c>
      <c r="N120" s="42" t="n">
        <f aca="false">IFERROR(J120/F120,0)</f>
        <v>0.00326315789473684</v>
      </c>
      <c r="O120" s="8" t="n">
        <v>1</v>
      </c>
      <c r="P120" s="8" t="n">
        <v>0</v>
      </c>
      <c r="Q120" s="8" t="n">
        <v>1</v>
      </c>
      <c r="R120" s="8" t="n">
        <v>1</v>
      </c>
      <c r="S120" s="8" t="n">
        <v>0</v>
      </c>
      <c r="T120" s="8" t="n">
        <v>0</v>
      </c>
      <c r="U120" s="8" t="n">
        <v>0</v>
      </c>
      <c r="V120" s="8" t="n">
        <v>0</v>
      </c>
      <c r="W120" s="8" t="n">
        <v>0</v>
      </c>
      <c r="X120" s="8" t="n">
        <v>0</v>
      </c>
      <c r="Y120" s="8" t="n">
        <v>0</v>
      </c>
      <c r="Z120" s="8" t="n">
        <v>0</v>
      </c>
      <c r="AA120" s="8" t="n">
        <v>0</v>
      </c>
      <c r="AB120" s="8" t="n">
        <v>0</v>
      </c>
      <c r="AC120" s="8" t="n">
        <v>0</v>
      </c>
      <c r="AD120" s="8" t="n">
        <v>0</v>
      </c>
    </row>
    <row r="121" customFormat="false" ht="15" hidden="false" customHeight="false" outlineLevel="0" collapsed="false">
      <c r="A121" s="38" t="s">
        <v>1545</v>
      </c>
      <c r="B121" s="8" t="s">
        <v>1546</v>
      </c>
      <c r="C121" s="39" t="n">
        <v>28500</v>
      </c>
      <c r="D121" s="40" t="n">
        <v>46094</v>
      </c>
      <c r="E121" s="8" t="n">
        <v>163</v>
      </c>
      <c r="F121" s="39" t="n">
        <v>37900</v>
      </c>
      <c r="G121" s="39" t="n">
        <v>305</v>
      </c>
      <c r="H121" s="39" t="n">
        <v>14</v>
      </c>
      <c r="I121" s="39" t="n">
        <v>231</v>
      </c>
      <c r="J121" s="39" t="n">
        <v>104</v>
      </c>
      <c r="K121" s="8" t="s">
        <v>1240</v>
      </c>
      <c r="L121" s="41" t="s">
        <v>1547</v>
      </c>
      <c r="M121" s="42" t="n">
        <f aca="false">IFERROR(I121/F121,0)</f>
        <v>0.00609498680738786</v>
      </c>
      <c r="N121" s="42" t="n">
        <f aca="false">IFERROR(J121/F121,0)</f>
        <v>0.00274406332453826</v>
      </c>
      <c r="O121" s="8" t="n">
        <v>0</v>
      </c>
      <c r="P121" s="8" t="n">
        <v>1</v>
      </c>
      <c r="Q121" s="8" t="n">
        <v>0</v>
      </c>
      <c r="R121" s="8" t="n">
        <v>0</v>
      </c>
      <c r="S121" s="8" t="n">
        <v>0</v>
      </c>
      <c r="T121" s="8" t="n">
        <v>1</v>
      </c>
      <c r="U121" s="8" t="n">
        <v>0</v>
      </c>
      <c r="V121" s="8" t="n">
        <v>0</v>
      </c>
      <c r="W121" s="8" t="n">
        <v>0</v>
      </c>
      <c r="X121" s="8" t="n">
        <v>0</v>
      </c>
      <c r="Y121" s="8" t="n">
        <v>0</v>
      </c>
      <c r="Z121" s="8" t="n">
        <v>0</v>
      </c>
      <c r="AA121" s="8" t="n">
        <v>0</v>
      </c>
      <c r="AB121" s="8" t="n">
        <v>0</v>
      </c>
      <c r="AC121" s="8" t="n">
        <v>0</v>
      </c>
      <c r="AD121" s="8" t="n">
        <v>0</v>
      </c>
    </row>
    <row r="122" customFormat="false" ht="15" hidden="false" customHeight="false" outlineLevel="0" collapsed="false">
      <c r="A122" s="38" t="s">
        <v>1548</v>
      </c>
      <c r="B122" s="8" t="s">
        <v>1549</v>
      </c>
      <c r="C122" s="39" t="n">
        <v>555</v>
      </c>
      <c r="D122" s="40" t="n">
        <v>46231</v>
      </c>
      <c r="E122" s="8" t="n">
        <v>15</v>
      </c>
      <c r="F122" s="39" t="n">
        <v>37600</v>
      </c>
      <c r="G122" s="39" t="n">
        <v>123</v>
      </c>
      <c r="H122" s="39" t="n">
        <v>3</v>
      </c>
      <c r="I122" s="39" t="n">
        <v>13</v>
      </c>
      <c r="J122" s="39" t="n">
        <v>19</v>
      </c>
      <c r="K122" s="8" t="s">
        <v>1243</v>
      </c>
      <c r="L122" s="41" t="s">
        <v>1550</v>
      </c>
      <c r="M122" s="42" t="n">
        <f aca="false">IFERROR(I122/F122,0)</f>
        <v>0.000345744680851064</v>
      </c>
      <c r="N122" s="42" t="n">
        <f aca="false">IFERROR(J122/F122,0)</f>
        <v>0.00050531914893617</v>
      </c>
      <c r="O122" s="8" t="n">
        <v>1</v>
      </c>
      <c r="P122" s="8" t="n">
        <v>0</v>
      </c>
      <c r="Q122" s="8" t="n">
        <v>1</v>
      </c>
      <c r="R122" s="8" t="n">
        <v>1</v>
      </c>
      <c r="S122" s="8" t="n">
        <v>0</v>
      </c>
      <c r="T122" s="8" t="n">
        <v>0</v>
      </c>
      <c r="U122" s="8" t="n">
        <v>0</v>
      </c>
      <c r="V122" s="8" t="n">
        <v>0</v>
      </c>
      <c r="W122" s="8" t="n">
        <v>1</v>
      </c>
      <c r="X122" s="8" t="n">
        <v>1</v>
      </c>
      <c r="Y122" s="8" t="n">
        <v>0</v>
      </c>
      <c r="Z122" s="8" t="n">
        <v>0</v>
      </c>
      <c r="AA122" s="8" t="n">
        <v>0</v>
      </c>
      <c r="AB122" s="8" t="n">
        <v>0</v>
      </c>
      <c r="AC122" s="8" t="n">
        <v>0</v>
      </c>
      <c r="AD122" s="8" t="n">
        <v>1</v>
      </c>
    </row>
    <row r="123" customFormat="false" ht="15" hidden="false" customHeight="false" outlineLevel="0" collapsed="false">
      <c r="A123" s="38" t="s">
        <v>1551</v>
      </c>
      <c r="B123" s="8" t="s">
        <v>1483</v>
      </c>
      <c r="C123" s="39" t="n">
        <v>13400</v>
      </c>
      <c r="D123" s="40" t="n">
        <v>46048</v>
      </c>
      <c r="E123" s="8" t="n">
        <v>35</v>
      </c>
      <c r="F123" s="39" t="n">
        <v>37000</v>
      </c>
      <c r="G123" s="39" t="n">
        <v>369</v>
      </c>
      <c r="H123" s="39" t="n">
        <v>23</v>
      </c>
      <c r="I123" s="39" t="n">
        <v>182</v>
      </c>
      <c r="J123" s="39" t="n">
        <v>96</v>
      </c>
      <c r="K123" s="8" t="s">
        <v>1243</v>
      </c>
      <c r="L123" s="41" t="s">
        <v>1552</v>
      </c>
      <c r="M123" s="42" t="n">
        <f aca="false">IFERROR(I123/F123,0)</f>
        <v>0.00491891891891892</v>
      </c>
      <c r="N123" s="42" t="n">
        <f aca="false">IFERROR(J123/F123,0)</f>
        <v>0.00259459459459459</v>
      </c>
      <c r="O123" s="8" t="n">
        <v>1</v>
      </c>
      <c r="P123" s="8" t="n">
        <v>0</v>
      </c>
      <c r="Q123" s="8" t="n">
        <v>0</v>
      </c>
      <c r="R123" s="8" t="n">
        <v>1</v>
      </c>
      <c r="S123" s="8" t="n">
        <v>0</v>
      </c>
      <c r="T123" s="8" t="n">
        <v>0</v>
      </c>
      <c r="U123" s="8" t="n">
        <v>0</v>
      </c>
      <c r="V123" s="8" t="n">
        <v>0</v>
      </c>
      <c r="W123" s="8" t="n">
        <v>0</v>
      </c>
      <c r="X123" s="8" t="n">
        <v>0</v>
      </c>
      <c r="Y123" s="8" t="n">
        <v>0</v>
      </c>
      <c r="Z123" s="8" t="n">
        <v>0</v>
      </c>
      <c r="AA123" s="8" t="n">
        <v>0</v>
      </c>
      <c r="AB123" s="8" t="n">
        <v>0</v>
      </c>
      <c r="AC123" s="8" t="n">
        <v>0</v>
      </c>
      <c r="AD123" s="8" t="n">
        <v>0</v>
      </c>
    </row>
    <row r="124" customFormat="false" ht="15" hidden="false" customHeight="false" outlineLevel="0" collapsed="false">
      <c r="A124" s="38" t="s">
        <v>1553</v>
      </c>
      <c r="B124" s="8" t="s">
        <v>1554</v>
      </c>
      <c r="C124" s="39" t="n">
        <v>10100</v>
      </c>
      <c r="D124" s="40" t="n">
        <v>46165</v>
      </c>
      <c r="E124" s="8" t="n">
        <v>53</v>
      </c>
      <c r="F124" s="39" t="n">
        <v>36100</v>
      </c>
      <c r="G124" s="39" t="n">
        <v>2272</v>
      </c>
      <c r="H124" s="39" t="n">
        <v>36</v>
      </c>
      <c r="I124" s="39" t="n">
        <v>88</v>
      </c>
      <c r="J124" s="39" t="n">
        <v>152</v>
      </c>
      <c r="K124" s="8" t="s">
        <v>1240</v>
      </c>
      <c r="L124" s="41" t="s">
        <v>1555</v>
      </c>
      <c r="M124" s="42" t="n">
        <f aca="false">IFERROR(I124/F124,0)</f>
        <v>0.00243767313019391</v>
      </c>
      <c r="N124" s="42" t="n">
        <f aca="false">IFERROR(J124/F124,0)</f>
        <v>0.00421052631578947</v>
      </c>
      <c r="O124" s="8" t="n">
        <v>0</v>
      </c>
      <c r="P124" s="8" t="n">
        <v>0</v>
      </c>
      <c r="Q124" s="8" t="n">
        <v>0</v>
      </c>
      <c r="R124" s="8" t="n">
        <v>0</v>
      </c>
      <c r="S124" s="8" t="n">
        <v>0</v>
      </c>
      <c r="T124" s="8" t="n">
        <v>0</v>
      </c>
      <c r="U124" s="8" t="n">
        <v>0</v>
      </c>
      <c r="V124" s="8" t="n">
        <v>0</v>
      </c>
      <c r="W124" s="8" t="n">
        <v>1</v>
      </c>
      <c r="X124" s="8" t="n">
        <v>1</v>
      </c>
      <c r="Y124" s="8" t="n">
        <v>0</v>
      </c>
      <c r="Z124" s="8" t="n">
        <v>0</v>
      </c>
      <c r="AA124" s="8" t="n">
        <v>0</v>
      </c>
      <c r="AB124" s="8" t="n">
        <v>0</v>
      </c>
      <c r="AC124" s="8" t="n">
        <v>0</v>
      </c>
      <c r="AD124" s="8" t="n">
        <v>0</v>
      </c>
    </row>
    <row r="125" customFormat="false" ht="15" hidden="false" customHeight="false" outlineLevel="0" collapsed="false">
      <c r="A125" s="38" t="s">
        <v>1556</v>
      </c>
      <c r="B125" s="8" t="s">
        <v>1483</v>
      </c>
      <c r="C125" s="39" t="n">
        <v>13400</v>
      </c>
      <c r="D125" s="40" t="n">
        <v>45826</v>
      </c>
      <c r="E125" s="8" t="n">
        <v>13</v>
      </c>
      <c r="F125" s="39" t="n">
        <v>35700</v>
      </c>
      <c r="G125" s="39" t="n">
        <v>287</v>
      </c>
      <c r="H125" s="39" t="n">
        <v>20</v>
      </c>
      <c r="I125" s="39" t="n">
        <v>128</v>
      </c>
      <c r="J125" s="39" t="n">
        <v>90</v>
      </c>
      <c r="K125" s="8" t="s">
        <v>1243</v>
      </c>
      <c r="L125" s="41" t="s">
        <v>1557</v>
      </c>
      <c r="M125" s="42" t="n">
        <f aca="false">IFERROR(I125/F125,0)</f>
        <v>0.00358543417366947</v>
      </c>
      <c r="N125" s="42" t="n">
        <f aca="false">IFERROR(J125/F125,0)</f>
        <v>0.00252100840336134</v>
      </c>
      <c r="O125" s="8" t="n">
        <v>1</v>
      </c>
      <c r="P125" s="8" t="n">
        <v>0</v>
      </c>
      <c r="Q125" s="8" t="n">
        <v>0</v>
      </c>
      <c r="R125" s="8" t="n">
        <v>1</v>
      </c>
      <c r="S125" s="8" t="n">
        <v>0</v>
      </c>
      <c r="T125" s="8" t="n">
        <v>0</v>
      </c>
      <c r="U125" s="8" t="n">
        <v>0</v>
      </c>
      <c r="V125" s="8" t="n">
        <v>0</v>
      </c>
      <c r="W125" s="8" t="n">
        <v>0</v>
      </c>
      <c r="X125" s="8" t="n">
        <v>0</v>
      </c>
      <c r="Y125" s="8" t="n">
        <v>0</v>
      </c>
      <c r="Z125" s="8" t="n">
        <v>0</v>
      </c>
      <c r="AA125" s="8" t="n">
        <v>1</v>
      </c>
      <c r="AB125" s="8" t="n">
        <v>0</v>
      </c>
      <c r="AC125" s="8" t="n">
        <v>0</v>
      </c>
      <c r="AD125" s="8" t="n">
        <v>0</v>
      </c>
    </row>
    <row r="126" customFormat="false" ht="15" hidden="false" customHeight="false" outlineLevel="0" collapsed="false">
      <c r="A126" s="38" t="s">
        <v>1558</v>
      </c>
      <c r="B126" s="8" t="s">
        <v>1559</v>
      </c>
      <c r="C126" s="39" t="n">
        <v>28200</v>
      </c>
      <c r="D126" s="40" t="n">
        <v>45717</v>
      </c>
      <c r="E126" s="8" t="n">
        <v>29</v>
      </c>
      <c r="F126" s="39" t="n">
        <v>35500</v>
      </c>
      <c r="G126" s="39" t="n">
        <v>439</v>
      </c>
      <c r="H126" s="39" t="n">
        <v>25</v>
      </c>
      <c r="I126" s="39" t="n">
        <v>129</v>
      </c>
      <c r="J126" s="39" t="n">
        <v>73</v>
      </c>
      <c r="K126" s="8" t="s">
        <v>1243</v>
      </c>
      <c r="L126" s="41" t="s">
        <v>1560</v>
      </c>
      <c r="M126" s="42" t="n">
        <f aca="false">IFERROR(I126/F126,0)</f>
        <v>0.00363380281690141</v>
      </c>
      <c r="N126" s="42" t="n">
        <f aca="false">IFERROR(J126/F126,0)</f>
        <v>0.00205633802816901</v>
      </c>
      <c r="O126" s="8" t="n">
        <v>1</v>
      </c>
      <c r="P126" s="8" t="n">
        <v>0</v>
      </c>
      <c r="Q126" s="8" t="n">
        <v>0</v>
      </c>
      <c r="R126" s="8" t="n">
        <v>0</v>
      </c>
      <c r="S126" s="8" t="n">
        <v>0</v>
      </c>
      <c r="T126" s="8" t="n">
        <v>0</v>
      </c>
      <c r="U126" s="8" t="n">
        <v>0</v>
      </c>
      <c r="V126" s="8" t="n">
        <v>0</v>
      </c>
      <c r="W126" s="8" t="n">
        <v>0</v>
      </c>
      <c r="X126" s="8" t="n">
        <v>0</v>
      </c>
      <c r="Y126" s="8" t="n">
        <v>0</v>
      </c>
      <c r="Z126" s="8" t="n">
        <v>0</v>
      </c>
      <c r="AA126" s="8" t="n">
        <v>0</v>
      </c>
      <c r="AB126" s="8" t="n">
        <v>0</v>
      </c>
      <c r="AC126" s="8" t="n">
        <v>0</v>
      </c>
      <c r="AD126" s="8" t="n">
        <v>0</v>
      </c>
    </row>
    <row r="127" customFormat="false" ht="15" hidden="false" customHeight="false" outlineLevel="0" collapsed="false">
      <c r="A127" s="38" t="s">
        <v>1561</v>
      </c>
      <c r="B127" s="8" t="s">
        <v>1562</v>
      </c>
      <c r="C127" s="39" t="n">
        <v>15500</v>
      </c>
      <c r="D127" s="40" t="n">
        <v>45213</v>
      </c>
      <c r="E127" s="8" t="n">
        <v>73</v>
      </c>
      <c r="F127" s="39" t="n">
        <v>33600</v>
      </c>
      <c r="G127" s="39" t="n">
        <v>1588</v>
      </c>
      <c r="H127" s="39" t="n">
        <v>32</v>
      </c>
      <c r="I127" s="39" t="n">
        <v>176</v>
      </c>
      <c r="J127" s="39" t="n">
        <v>48</v>
      </c>
      <c r="K127" s="8" t="s">
        <v>1243</v>
      </c>
      <c r="L127" s="41" t="s">
        <v>1563</v>
      </c>
      <c r="M127" s="42" t="n">
        <f aca="false">IFERROR(I127/F127,0)</f>
        <v>0.00523809523809524</v>
      </c>
      <c r="N127" s="42" t="n">
        <f aca="false">IFERROR(J127/F127,0)</f>
        <v>0.00142857142857143</v>
      </c>
      <c r="O127" s="8" t="n">
        <v>1</v>
      </c>
      <c r="P127" s="8" t="n">
        <v>0</v>
      </c>
      <c r="Q127" s="8" t="n">
        <v>0</v>
      </c>
      <c r="R127" s="8" t="n">
        <v>1</v>
      </c>
      <c r="S127" s="8" t="n">
        <v>0</v>
      </c>
      <c r="T127" s="8" t="n">
        <v>0</v>
      </c>
      <c r="U127" s="8" t="n">
        <v>0</v>
      </c>
      <c r="V127" s="8" t="n">
        <v>0</v>
      </c>
      <c r="W127" s="8" t="n">
        <v>0</v>
      </c>
      <c r="X127" s="8" t="n">
        <v>0</v>
      </c>
      <c r="Y127" s="8" t="n">
        <v>0</v>
      </c>
      <c r="Z127" s="8" t="n">
        <v>0</v>
      </c>
      <c r="AA127" s="8" t="n">
        <v>0</v>
      </c>
      <c r="AB127" s="8" t="n">
        <v>0</v>
      </c>
      <c r="AC127" s="8" t="n">
        <v>0</v>
      </c>
      <c r="AD127" s="8" t="n">
        <v>0</v>
      </c>
    </row>
    <row r="128" customFormat="false" ht="15" hidden="false" customHeight="false" outlineLevel="0" collapsed="false">
      <c r="A128" s="38" t="s">
        <v>1564</v>
      </c>
      <c r="B128" s="8" t="s">
        <v>1296</v>
      </c>
      <c r="C128" s="39" t="n">
        <v>47400</v>
      </c>
      <c r="D128" s="40" t="n">
        <v>44998</v>
      </c>
      <c r="E128" s="8" t="n">
        <v>43</v>
      </c>
      <c r="F128" s="39" t="n">
        <v>32100</v>
      </c>
      <c r="G128" s="39" t="n">
        <v>672</v>
      </c>
      <c r="H128" s="39" t="n">
        <v>37</v>
      </c>
      <c r="I128" s="39" t="n">
        <v>169</v>
      </c>
      <c r="J128" s="39" t="n">
        <v>164</v>
      </c>
      <c r="K128" s="8" t="s">
        <v>1243</v>
      </c>
      <c r="L128" s="41" t="s">
        <v>1565</v>
      </c>
      <c r="M128" s="42" t="n">
        <f aca="false">IFERROR(I128/F128,0)</f>
        <v>0.00526479750778816</v>
      </c>
      <c r="N128" s="42" t="n">
        <f aca="false">IFERROR(J128/F128,0)</f>
        <v>0.00510903426791277</v>
      </c>
      <c r="O128" s="8" t="n">
        <v>1</v>
      </c>
      <c r="P128" s="8" t="n">
        <v>0</v>
      </c>
      <c r="Q128" s="8" t="n">
        <v>0</v>
      </c>
      <c r="R128" s="8" t="n">
        <v>1</v>
      </c>
      <c r="S128" s="8" t="n">
        <v>0</v>
      </c>
      <c r="T128" s="8" t="n">
        <v>0</v>
      </c>
      <c r="U128" s="8" t="n">
        <v>0</v>
      </c>
      <c r="V128" s="8" t="n">
        <v>0</v>
      </c>
      <c r="W128" s="8" t="n">
        <v>0</v>
      </c>
      <c r="X128" s="8" t="n">
        <v>0</v>
      </c>
      <c r="Y128" s="8" t="n">
        <v>0</v>
      </c>
      <c r="Z128" s="8" t="n">
        <v>0</v>
      </c>
      <c r="AA128" s="8" t="n">
        <v>0</v>
      </c>
      <c r="AB128" s="8" t="n">
        <v>0</v>
      </c>
      <c r="AC128" s="8" t="n">
        <v>0</v>
      </c>
      <c r="AD128" s="8" t="n">
        <v>0</v>
      </c>
    </row>
    <row r="129" customFormat="false" ht="15" hidden="false" customHeight="false" outlineLevel="0" collapsed="false">
      <c r="A129" s="38" t="s">
        <v>1566</v>
      </c>
      <c r="B129" s="8" t="s">
        <v>1567</v>
      </c>
      <c r="C129" s="39" t="n">
        <v>2271</v>
      </c>
      <c r="D129" s="40" t="n">
        <v>45930</v>
      </c>
      <c r="E129" s="8" t="n">
        <v>110</v>
      </c>
      <c r="F129" s="39" t="n">
        <v>31700</v>
      </c>
      <c r="G129" s="39" t="n">
        <v>206</v>
      </c>
      <c r="H129" s="39" t="n">
        <v>3</v>
      </c>
      <c r="I129" s="39" t="n">
        <v>15</v>
      </c>
      <c r="J129" s="39" t="n">
        <v>37</v>
      </c>
      <c r="K129" s="8" t="s">
        <v>1240</v>
      </c>
      <c r="L129" s="41" t="s">
        <v>1568</v>
      </c>
      <c r="M129" s="42" t="n">
        <f aca="false">IFERROR(I129/F129,0)</f>
        <v>0.000473186119873817</v>
      </c>
      <c r="N129" s="42" t="n">
        <f aca="false">IFERROR(J129/F129,0)</f>
        <v>0.00116719242902208</v>
      </c>
      <c r="O129" s="8" t="n">
        <v>0</v>
      </c>
      <c r="P129" s="8" t="n">
        <v>0</v>
      </c>
      <c r="Q129" s="8" t="n">
        <v>0</v>
      </c>
      <c r="R129" s="8" t="n">
        <v>0</v>
      </c>
      <c r="S129" s="8" t="n">
        <v>0</v>
      </c>
      <c r="T129" s="8" t="n">
        <v>1</v>
      </c>
      <c r="U129" s="8" t="n">
        <v>0</v>
      </c>
      <c r="V129" s="8" t="n">
        <v>0</v>
      </c>
      <c r="W129" s="8" t="n">
        <v>0</v>
      </c>
      <c r="X129" s="8" t="n">
        <v>0</v>
      </c>
      <c r="Y129" s="8" t="n">
        <v>0</v>
      </c>
      <c r="Z129" s="8" t="n">
        <v>0</v>
      </c>
      <c r="AA129" s="8" t="n">
        <v>0</v>
      </c>
      <c r="AB129" s="8" t="n">
        <v>0</v>
      </c>
      <c r="AC129" s="8" t="n">
        <v>0</v>
      </c>
      <c r="AD129" s="8" t="n">
        <v>0</v>
      </c>
    </row>
    <row r="130" customFormat="false" ht="15" hidden="false" customHeight="false" outlineLevel="0" collapsed="false">
      <c r="A130" s="38" t="s">
        <v>1569</v>
      </c>
      <c r="B130" s="8" t="s">
        <v>1570</v>
      </c>
      <c r="C130" s="39" t="n">
        <v>45200</v>
      </c>
      <c r="D130" s="40" t="n">
        <v>46165</v>
      </c>
      <c r="E130" s="8" t="n">
        <v>83</v>
      </c>
      <c r="F130" s="39" t="n">
        <v>31600</v>
      </c>
      <c r="G130" s="39" t="n">
        <v>664</v>
      </c>
      <c r="H130" s="39" t="n">
        <v>11</v>
      </c>
      <c r="I130" s="39" t="n">
        <v>77</v>
      </c>
      <c r="J130" s="39" t="n">
        <v>145</v>
      </c>
      <c r="K130" s="8" t="s">
        <v>1243</v>
      </c>
      <c r="L130" s="41" t="s">
        <v>1571</v>
      </c>
      <c r="M130" s="42" t="n">
        <f aca="false">IFERROR(I130/F130,0)</f>
        <v>0.00243670886075949</v>
      </c>
      <c r="N130" s="42" t="n">
        <f aca="false">IFERROR(J130/F130,0)</f>
        <v>0.00458860759493671</v>
      </c>
      <c r="O130" s="8" t="n">
        <v>0</v>
      </c>
      <c r="P130" s="8" t="n">
        <v>0</v>
      </c>
      <c r="Q130" s="8" t="n">
        <v>0</v>
      </c>
      <c r="R130" s="8" t="n">
        <v>0</v>
      </c>
      <c r="S130" s="8" t="n">
        <v>0</v>
      </c>
      <c r="T130" s="8" t="n">
        <v>0</v>
      </c>
      <c r="U130" s="8" t="n">
        <v>0</v>
      </c>
      <c r="V130" s="8" t="n">
        <v>0</v>
      </c>
      <c r="W130" s="8" t="n">
        <v>0</v>
      </c>
      <c r="X130" s="8" t="n">
        <v>0</v>
      </c>
      <c r="Y130" s="8" t="n">
        <v>0</v>
      </c>
      <c r="Z130" s="8" t="n">
        <v>0</v>
      </c>
      <c r="AA130" s="8" t="n">
        <v>0</v>
      </c>
      <c r="AB130" s="8" t="n">
        <v>0</v>
      </c>
      <c r="AC130" s="8" t="n">
        <v>0</v>
      </c>
      <c r="AD130" s="8" t="n">
        <v>0</v>
      </c>
    </row>
    <row r="131" customFormat="false" ht="15" hidden="false" customHeight="false" outlineLevel="0" collapsed="false">
      <c r="A131" s="38" t="s">
        <v>1572</v>
      </c>
      <c r="B131" s="8" t="s">
        <v>1573</v>
      </c>
      <c r="C131" s="39" t="n">
        <v>275100</v>
      </c>
      <c r="D131" s="40" t="n">
        <v>45656</v>
      </c>
      <c r="E131" s="8" t="n">
        <v>5</v>
      </c>
      <c r="F131" s="39" t="n">
        <v>31600</v>
      </c>
      <c r="G131" s="39" t="n">
        <v>662</v>
      </c>
      <c r="H131" s="39" t="n">
        <v>12</v>
      </c>
      <c r="I131" s="39" t="n">
        <v>43</v>
      </c>
      <c r="J131" s="39" t="n">
        <v>78</v>
      </c>
      <c r="K131" s="8" t="s">
        <v>1240</v>
      </c>
      <c r="L131" s="41" t="s">
        <v>1574</v>
      </c>
      <c r="M131" s="42" t="n">
        <f aca="false">IFERROR(I131/F131,0)</f>
        <v>0.00136075949367089</v>
      </c>
      <c r="N131" s="42" t="n">
        <f aca="false">IFERROR(J131/F131,0)</f>
        <v>0.00246835443037975</v>
      </c>
      <c r="O131" s="8" t="n">
        <v>0</v>
      </c>
      <c r="P131" s="8" t="n">
        <v>0</v>
      </c>
      <c r="Q131" s="8" t="n">
        <v>0</v>
      </c>
      <c r="R131" s="8" t="n">
        <v>0</v>
      </c>
      <c r="S131" s="8" t="n">
        <v>0</v>
      </c>
      <c r="T131" s="8" t="n">
        <v>0</v>
      </c>
      <c r="U131" s="8" t="n">
        <v>0</v>
      </c>
      <c r="V131" s="8" t="n">
        <v>0</v>
      </c>
      <c r="W131" s="8" t="n">
        <v>1</v>
      </c>
      <c r="X131" s="8" t="n">
        <v>0</v>
      </c>
      <c r="Y131" s="8" t="n">
        <v>0</v>
      </c>
      <c r="Z131" s="8" t="n">
        <v>0</v>
      </c>
      <c r="AA131" s="8" t="n">
        <v>0</v>
      </c>
      <c r="AB131" s="8" t="n">
        <v>1</v>
      </c>
      <c r="AC131" s="8" t="n">
        <v>0</v>
      </c>
      <c r="AD131" s="8" t="n">
        <v>0</v>
      </c>
    </row>
    <row r="132" customFormat="false" ht="15" hidden="false" customHeight="false" outlineLevel="0" collapsed="false">
      <c r="A132" s="38" t="s">
        <v>1575</v>
      </c>
      <c r="B132" s="8" t="s">
        <v>1339</v>
      </c>
      <c r="C132" s="39" t="n">
        <v>23700</v>
      </c>
      <c r="D132" s="40" t="n">
        <v>45981</v>
      </c>
      <c r="E132" s="8" t="n">
        <v>35</v>
      </c>
      <c r="F132" s="39" t="n">
        <v>31400</v>
      </c>
      <c r="G132" s="39" t="n">
        <v>358</v>
      </c>
      <c r="H132" s="39" t="n">
        <v>40</v>
      </c>
      <c r="I132" s="39" t="n">
        <v>371</v>
      </c>
      <c r="J132" s="39" t="n">
        <v>126</v>
      </c>
      <c r="K132" s="8" t="s">
        <v>1243</v>
      </c>
      <c r="L132" s="41" t="s">
        <v>1576</v>
      </c>
      <c r="M132" s="42" t="n">
        <f aca="false">IFERROR(I132/F132,0)</f>
        <v>0.0118152866242038</v>
      </c>
      <c r="N132" s="42" t="n">
        <f aca="false">IFERROR(J132/F132,0)</f>
        <v>0.00401273885350319</v>
      </c>
      <c r="O132" s="8" t="n">
        <v>1</v>
      </c>
      <c r="P132" s="8" t="n">
        <v>0</v>
      </c>
      <c r="Q132" s="8" t="n">
        <v>1</v>
      </c>
      <c r="R132" s="8" t="n">
        <v>1</v>
      </c>
      <c r="S132" s="8" t="n">
        <v>0</v>
      </c>
      <c r="T132" s="8" t="n">
        <v>0</v>
      </c>
      <c r="U132" s="8" t="n">
        <v>0</v>
      </c>
      <c r="V132" s="8" t="n">
        <v>0</v>
      </c>
      <c r="W132" s="8" t="n">
        <v>0</v>
      </c>
      <c r="X132" s="8" t="n">
        <v>0</v>
      </c>
      <c r="Y132" s="8" t="n">
        <v>0</v>
      </c>
      <c r="Z132" s="8" t="n">
        <v>0</v>
      </c>
      <c r="AA132" s="8" t="n">
        <v>0</v>
      </c>
      <c r="AB132" s="8" t="n">
        <v>0</v>
      </c>
      <c r="AC132" s="8" t="n">
        <v>0</v>
      </c>
      <c r="AD132" s="8" t="n">
        <v>1</v>
      </c>
    </row>
    <row r="133" customFormat="false" ht="15" hidden="false" customHeight="false" outlineLevel="0" collapsed="false">
      <c r="A133" s="38" t="s">
        <v>1577</v>
      </c>
      <c r="B133" s="8" t="s">
        <v>1578</v>
      </c>
      <c r="C133" s="39" t="n">
        <v>39600</v>
      </c>
      <c r="D133" s="40" t="n">
        <v>45635</v>
      </c>
      <c r="E133" s="8" t="n">
        <v>30</v>
      </c>
      <c r="F133" s="39" t="n">
        <v>31100</v>
      </c>
      <c r="G133" s="39" t="n">
        <v>641</v>
      </c>
      <c r="H133" s="39" t="n">
        <v>37</v>
      </c>
      <c r="I133" s="39" t="n">
        <v>92</v>
      </c>
      <c r="J133" s="39" t="n">
        <v>64</v>
      </c>
      <c r="K133" s="8" t="s">
        <v>1240</v>
      </c>
      <c r="L133" s="41" t="s">
        <v>1579</v>
      </c>
      <c r="M133" s="42" t="n">
        <f aca="false">IFERROR(I133/F133,0)</f>
        <v>0.00295819935691318</v>
      </c>
      <c r="N133" s="42" t="n">
        <f aca="false">IFERROR(J133/F133,0)</f>
        <v>0.00205787781350482</v>
      </c>
      <c r="O133" s="8" t="n">
        <v>0</v>
      </c>
      <c r="P133" s="8" t="n">
        <v>0</v>
      </c>
      <c r="Q133" s="8" t="n">
        <v>0</v>
      </c>
      <c r="R133" s="8" t="n">
        <v>0</v>
      </c>
      <c r="S133" s="8" t="n">
        <v>0</v>
      </c>
      <c r="T133" s="8" t="n">
        <v>1</v>
      </c>
      <c r="U133" s="8" t="n">
        <v>0</v>
      </c>
      <c r="V133" s="8" t="n">
        <v>0</v>
      </c>
      <c r="W133" s="8" t="n">
        <v>1</v>
      </c>
      <c r="X133" s="8" t="n">
        <v>1</v>
      </c>
      <c r="Y133" s="8" t="n">
        <v>0</v>
      </c>
      <c r="Z133" s="8" t="n">
        <v>0</v>
      </c>
      <c r="AA133" s="8" t="n">
        <v>0</v>
      </c>
      <c r="AB133" s="8" t="n">
        <v>0</v>
      </c>
      <c r="AC133" s="8" t="n">
        <v>0</v>
      </c>
      <c r="AD133" s="8" t="n">
        <v>0</v>
      </c>
    </row>
    <row r="134" customFormat="false" ht="15" hidden="false" customHeight="false" outlineLevel="0" collapsed="false">
      <c r="A134" s="38" t="s">
        <v>1580</v>
      </c>
      <c r="B134" s="8" t="s">
        <v>1581</v>
      </c>
      <c r="C134" s="39" t="n">
        <v>6836</v>
      </c>
      <c r="D134" s="40" t="n">
        <v>45805</v>
      </c>
      <c r="E134" s="8" t="n">
        <v>8</v>
      </c>
      <c r="F134" s="39" t="n">
        <v>30100</v>
      </c>
      <c r="G134" s="39" t="n">
        <v>179</v>
      </c>
      <c r="H134" s="39" t="n">
        <v>24</v>
      </c>
      <c r="I134" s="39" t="n">
        <v>151</v>
      </c>
      <c r="J134" s="39" t="n">
        <v>86</v>
      </c>
      <c r="K134" s="8" t="s">
        <v>1240</v>
      </c>
      <c r="L134" s="41" t="s">
        <v>1582</v>
      </c>
      <c r="M134" s="42" t="n">
        <f aca="false">IFERROR(I134/F134,0)</f>
        <v>0.00501661129568106</v>
      </c>
      <c r="N134" s="42" t="n">
        <f aca="false">IFERROR(J134/F134,0)</f>
        <v>0.00285714285714286</v>
      </c>
      <c r="O134" s="8" t="n">
        <v>0</v>
      </c>
      <c r="P134" s="8" t="n">
        <v>0</v>
      </c>
      <c r="Q134" s="8" t="n">
        <v>0</v>
      </c>
      <c r="R134" s="8" t="n">
        <v>0</v>
      </c>
      <c r="S134" s="8" t="n">
        <v>0</v>
      </c>
      <c r="T134" s="8" t="n">
        <v>1</v>
      </c>
      <c r="U134" s="8" t="n">
        <v>0</v>
      </c>
      <c r="V134" s="8" t="n">
        <v>0</v>
      </c>
      <c r="W134" s="8" t="n">
        <v>0</v>
      </c>
      <c r="X134" s="8" t="n">
        <v>1</v>
      </c>
      <c r="Y134" s="8" t="n">
        <v>0</v>
      </c>
      <c r="Z134" s="8" t="n">
        <v>0</v>
      </c>
      <c r="AA134" s="8" t="n">
        <v>0</v>
      </c>
      <c r="AB134" s="8" t="n">
        <v>0</v>
      </c>
      <c r="AC134" s="8" t="n">
        <v>0</v>
      </c>
      <c r="AD134" s="8" t="n">
        <v>0</v>
      </c>
    </row>
    <row r="135" customFormat="false" ht="15" hidden="false" customHeight="false" outlineLevel="0" collapsed="false">
      <c r="A135" s="38" t="s">
        <v>1583</v>
      </c>
      <c r="B135" s="8" t="s">
        <v>1505</v>
      </c>
      <c r="C135" s="39" t="n">
        <v>30100</v>
      </c>
      <c r="D135" s="40" t="n">
        <v>46131</v>
      </c>
      <c r="E135" s="8" t="n">
        <v>80</v>
      </c>
      <c r="F135" s="39" t="n">
        <v>29400</v>
      </c>
      <c r="G135" s="39" t="n">
        <v>389</v>
      </c>
      <c r="H135" s="39" t="n">
        <v>17</v>
      </c>
      <c r="I135" s="39" t="n">
        <v>133</v>
      </c>
      <c r="J135" s="39" t="n">
        <v>138</v>
      </c>
      <c r="K135" s="8" t="s">
        <v>1243</v>
      </c>
      <c r="L135" s="41" t="s">
        <v>1584</v>
      </c>
      <c r="M135" s="42" t="n">
        <f aca="false">IFERROR(I135/F135,0)</f>
        <v>0.00452380952380952</v>
      </c>
      <c r="N135" s="42" t="n">
        <f aca="false">IFERROR(J135/F135,0)</f>
        <v>0.00469387755102041</v>
      </c>
      <c r="O135" s="8" t="n">
        <v>1</v>
      </c>
      <c r="P135" s="8" t="n">
        <v>0</v>
      </c>
      <c r="Q135" s="8" t="n">
        <v>1</v>
      </c>
      <c r="R135" s="8" t="n">
        <v>0</v>
      </c>
      <c r="S135" s="8" t="n">
        <v>0</v>
      </c>
      <c r="T135" s="8" t="n">
        <v>0</v>
      </c>
      <c r="U135" s="8" t="n">
        <v>0</v>
      </c>
      <c r="V135" s="8" t="n">
        <v>0</v>
      </c>
      <c r="W135" s="8" t="n">
        <v>0</v>
      </c>
      <c r="X135" s="8" t="n">
        <v>0</v>
      </c>
      <c r="Y135" s="8" t="n">
        <v>0</v>
      </c>
      <c r="Z135" s="8" t="n">
        <v>0</v>
      </c>
      <c r="AA135" s="8" t="n">
        <v>0</v>
      </c>
      <c r="AB135" s="8" t="n">
        <v>0</v>
      </c>
      <c r="AC135" s="8" t="n">
        <v>0</v>
      </c>
      <c r="AD135" s="8" t="n">
        <v>0</v>
      </c>
    </row>
    <row r="136" customFormat="false" ht="15" hidden="false" customHeight="false" outlineLevel="0" collapsed="false">
      <c r="A136" s="38" t="s">
        <v>1585</v>
      </c>
      <c r="B136" s="8" t="s">
        <v>1586</v>
      </c>
      <c r="C136" s="39" t="n">
        <v>38600</v>
      </c>
      <c r="D136" s="40" t="n">
        <v>45991</v>
      </c>
      <c r="E136" s="8" t="n">
        <v>24</v>
      </c>
      <c r="F136" s="39" t="n">
        <v>28800</v>
      </c>
      <c r="G136" s="39" t="n">
        <v>1017</v>
      </c>
      <c r="H136" s="39" t="n">
        <v>11</v>
      </c>
      <c r="I136" s="39" t="n">
        <v>118</v>
      </c>
      <c r="J136" s="39" t="n">
        <v>105</v>
      </c>
      <c r="K136" s="8" t="s">
        <v>1240</v>
      </c>
      <c r="L136" s="41" t="s">
        <v>1587</v>
      </c>
      <c r="M136" s="42" t="n">
        <f aca="false">IFERROR(I136/F136,0)</f>
        <v>0.00409722222222222</v>
      </c>
      <c r="N136" s="42" t="n">
        <f aca="false">IFERROR(J136/F136,0)</f>
        <v>0.00364583333333333</v>
      </c>
      <c r="O136" s="8" t="n">
        <v>0</v>
      </c>
      <c r="P136" s="8" t="n">
        <v>0</v>
      </c>
      <c r="Q136" s="8" t="n">
        <v>0</v>
      </c>
      <c r="R136" s="8" t="n">
        <v>0</v>
      </c>
      <c r="S136" s="8" t="n">
        <v>0</v>
      </c>
      <c r="T136" s="8" t="n">
        <v>1</v>
      </c>
      <c r="U136" s="8" t="n">
        <v>1</v>
      </c>
      <c r="V136" s="8" t="n">
        <v>0</v>
      </c>
      <c r="W136" s="8" t="n">
        <v>1</v>
      </c>
      <c r="X136" s="8" t="n">
        <v>1</v>
      </c>
      <c r="Y136" s="8" t="n">
        <v>0</v>
      </c>
      <c r="Z136" s="8" t="n">
        <v>0</v>
      </c>
      <c r="AA136" s="8" t="n">
        <v>0</v>
      </c>
      <c r="AB136" s="8" t="n">
        <v>0</v>
      </c>
      <c r="AC136" s="8" t="n">
        <v>1</v>
      </c>
      <c r="AD136" s="8" t="n">
        <v>1</v>
      </c>
    </row>
    <row r="137" customFormat="false" ht="15" hidden="false" customHeight="false" outlineLevel="0" collapsed="false">
      <c r="A137" s="38" t="s">
        <v>1588</v>
      </c>
      <c r="B137" s="8" t="s">
        <v>1589</v>
      </c>
      <c r="C137" s="39" t="n">
        <v>13900</v>
      </c>
      <c r="D137" s="40" t="n">
        <v>45875</v>
      </c>
      <c r="E137" s="8" t="n">
        <v>126</v>
      </c>
      <c r="F137" s="39" t="n">
        <v>28500</v>
      </c>
      <c r="G137" s="39" t="n">
        <v>734</v>
      </c>
      <c r="H137" s="39" t="n">
        <v>31</v>
      </c>
      <c r="I137" s="39" t="n">
        <v>45</v>
      </c>
      <c r="J137" s="39" t="n">
        <v>99</v>
      </c>
      <c r="K137" s="8" t="s">
        <v>1243</v>
      </c>
      <c r="L137" s="41" t="s">
        <v>1590</v>
      </c>
      <c r="M137" s="42" t="n">
        <f aca="false">IFERROR(I137/F137,0)</f>
        <v>0.00157894736842105</v>
      </c>
      <c r="N137" s="42" t="n">
        <f aca="false">IFERROR(J137/F137,0)</f>
        <v>0.00347368421052632</v>
      </c>
      <c r="O137" s="8" t="n">
        <v>0</v>
      </c>
      <c r="P137" s="8" t="n">
        <v>0</v>
      </c>
      <c r="Q137" s="8" t="n">
        <v>0</v>
      </c>
      <c r="R137" s="8" t="n">
        <v>1</v>
      </c>
      <c r="S137" s="8" t="n">
        <v>0</v>
      </c>
      <c r="T137" s="8" t="n">
        <v>0</v>
      </c>
      <c r="U137" s="8" t="n">
        <v>0</v>
      </c>
      <c r="V137" s="8" t="n">
        <v>0</v>
      </c>
      <c r="W137" s="8" t="n">
        <v>1</v>
      </c>
      <c r="X137" s="8" t="n">
        <v>1</v>
      </c>
      <c r="Y137" s="8" t="n">
        <v>0</v>
      </c>
      <c r="Z137" s="8" t="n">
        <v>0</v>
      </c>
      <c r="AA137" s="8" t="n">
        <v>0</v>
      </c>
      <c r="AB137" s="8" t="n">
        <v>0</v>
      </c>
      <c r="AC137" s="8" t="n">
        <v>0</v>
      </c>
      <c r="AD137" s="8" t="n">
        <v>0</v>
      </c>
    </row>
    <row r="138" customFormat="false" ht="15" hidden="false" customHeight="false" outlineLevel="0" collapsed="false">
      <c r="A138" s="38" t="s">
        <v>1591</v>
      </c>
      <c r="B138" s="8" t="s">
        <v>1592</v>
      </c>
      <c r="C138" s="39" t="n">
        <v>3394</v>
      </c>
      <c r="D138" s="40" t="n">
        <v>45561</v>
      </c>
      <c r="E138" s="8" t="n">
        <v>50</v>
      </c>
      <c r="F138" s="39" t="n">
        <v>28400</v>
      </c>
      <c r="G138" s="39" t="n">
        <v>3251</v>
      </c>
      <c r="H138" s="39" t="n">
        <v>258</v>
      </c>
      <c r="I138" s="39" t="n">
        <v>408</v>
      </c>
      <c r="J138" s="39" t="n">
        <v>148</v>
      </c>
      <c r="K138" s="8" t="s">
        <v>1243</v>
      </c>
      <c r="L138" s="41" t="s">
        <v>1593</v>
      </c>
      <c r="M138" s="42" t="n">
        <f aca="false">IFERROR(I138/F138,0)</f>
        <v>0.0143661971830986</v>
      </c>
      <c r="N138" s="42" t="n">
        <f aca="false">IFERROR(J138/F138,0)</f>
        <v>0.0052112676056338</v>
      </c>
      <c r="O138" s="8" t="n">
        <v>1</v>
      </c>
      <c r="P138" s="8" t="n">
        <v>0</v>
      </c>
      <c r="Q138" s="8" t="n">
        <v>0</v>
      </c>
      <c r="R138" s="8" t="n">
        <v>0</v>
      </c>
      <c r="S138" s="8" t="n">
        <v>0</v>
      </c>
      <c r="T138" s="8" t="n">
        <v>0</v>
      </c>
      <c r="U138" s="8" t="n">
        <v>0</v>
      </c>
      <c r="V138" s="8" t="n">
        <v>0</v>
      </c>
      <c r="W138" s="8" t="n">
        <v>0</v>
      </c>
      <c r="X138" s="8" t="n">
        <v>0</v>
      </c>
      <c r="Y138" s="8" t="n">
        <v>0</v>
      </c>
      <c r="Z138" s="8" t="n">
        <v>0</v>
      </c>
      <c r="AA138" s="8" t="n">
        <v>0</v>
      </c>
      <c r="AB138" s="8" t="n">
        <v>0</v>
      </c>
      <c r="AC138" s="8" t="n">
        <v>0</v>
      </c>
      <c r="AD138" s="8" t="n">
        <v>0</v>
      </c>
    </row>
    <row r="139" customFormat="false" ht="15" hidden="false" customHeight="false" outlineLevel="0" collapsed="false">
      <c r="A139" s="38" t="s">
        <v>1594</v>
      </c>
      <c r="B139" s="8" t="s">
        <v>1595</v>
      </c>
      <c r="C139" s="39" t="n">
        <v>3731</v>
      </c>
      <c r="D139" s="40" t="n">
        <v>46028</v>
      </c>
      <c r="E139" s="8" t="n">
        <v>36</v>
      </c>
      <c r="F139" s="39" t="n">
        <v>28300</v>
      </c>
      <c r="G139" s="39" t="n">
        <v>244</v>
      </c>
      <c r="H139" s="39" t="n">
        <v>16</v>
      </c>
      <c r="I139" s="39" t="n">
        <v>58</v>
      </c>
      <c r="J139" s="39" t="n">
        <v>56</v>
      </c>
      <c r="K139" s="8" t="s">
        <v>1240</v>
      </c>
      <c r="L139" s="41" t="s">
        <v>1596</v>
      </c>
      <c r="M139" s="42" t="n">
        <f aca="false">IFERROR(I139/F139,0)</f>
        <v>0.00204946996466431</v>
      </c>
      <c r="N139" s="42" t="n">
        <f aca="false">IFERROR(J139/F139,0)</f>
        <v>0.00197879858657244</v>
      </c>
      <c r="O139" s="8" t="n">
        <v>0</v>
      </c>
      <c r="P139" s="8" t="n">
        <v>1</v>
      </c>
      <c r="Q139" s="8" t="n">
        <v>0</v>
      </c>
      <c r="R139" s="8" t="n">
        <v>0</v>
      </c>
      <c r="S139" s="8" t="n">
        <v>0</v>
      </c>
      <c r="T139" s="8" t="n">
        <v>1</v>
      </c>
      <c r="U139" s="8" t="n">
        <v>0</v>
      </c>
      <c r="V139" s="8" t="n">
        <v>0</v>
      </c>
      <c r="W139" s="8" t="n">
        <v>0</v>
      </c>
      <c r="X139" s="8" t="n">
        <v>1</v>
      </c>
      <c r="Y139" s="8" t="n">
        <v>0</v>
      </c>
      <c r="Z139" s="8" t="n">
        <v>0</v>
      </c>
      <c r="AA139" s="8" t="n">
        <v>0</v>
      </c>
      <c r="AB139" s="8" t="n">
        <v>0</v>
      </c>
      <c r="AC139" s="8" t="n">
        <v>0</v>
      </c>
      <c r="AD139" s="8" t="n">
        <v>0</v>
      </c>
    </row>
    <row r="140" customFormat="false" ht="15" hidden="false" customHeight="false" outlineLevel="0" collapsed="false">
      <c r="A140" s="38" t="s">
        <v>1597</v>
      </c>
      <c r="B140" s="8" t="s">
        <v>1525</v>
      </c>
      <c r="C140" s="39" t="n">
        <v>6785</v>
      </c>
      <c r="D140" s="40" t="n">
        <v>46174</v>
      </c>
      <c r="E140" s="8" t="n">
        <v>170</v>
      </c>
      <c r="F140" s="39" t="n">
        <v>28000</v>
      </c>
      <c r="G140" s="39" t="n">
        <v>505</v>
      </c>
      <c r="H140" s="39" t="n">
        <v>41</v>
      </c>
      <c r="I140" s="39" t="n">
        <v>263</v>
      </c>
      <c r="J140" s="39" t="n">
        <v>198</v>
      </c>
      <c r="K140" s="8" t="s">
        <v>1243</v>
      </c>
      <c r="L140" s="41" t="s">
        <v>1598</v>
      </c>
      <c r="M140" s="42" t="n">
        <f aca="false">IFERROR(I140/F140,0)</f>
        <v>0.00939285714285714</v>
      </c>
      <c r="N140" s="42" t="n">
        <f aca="false">IFERROR(J140/F140,0)</f>
        <v>0.00707142857142857</v>
      </c>
      <c r="O140" s="8" t="n">
        <v>1</v>
      </c>
      <c r="P140" s="8" t="n">
        <v>0</v>
      </c>
      <c r="Q140" s="8" t="n">
        <v>0</v>
      </c>
      <c r="R140" s="8" t="n">
        <v>1</v>
      </c>
      <c r="S140" s="8" t="n">
        <v>0</v>
      </c>
      <c r="T140" s="8" t="n">
        <v>0</v>
      </c>
      <c r="U140" s="8" t="n">
        <v>0</v>
      </c>
      <c r="V140" s="8" t="n">
        <v>0</v>
      </c>
      <c r="W140" s="8" t="n">
        <v>0</v>
      </c>
      <c r="X140" s="8" t="n">
        <v>0</v>
      </c>
      <c r="Y140" s="8" t="n">
        <v>0</v>
      </c>
      <c r="Z140" s="8" t="n">
        <v>0</v>
      </c>
      <c r="AA140" s="8" t="n">
        <v>0</v>
      </c>
      <c r="AB140" s="8" t="n">
        <v>0</v>
      </c>
      <c r="AC140" s="8" t="n">
        <v>0</v>
      </c>
      <c r="AD140" s="8" t="n">
        <v>0</v>
      </c>
    </row>
    <row r="141" customFormat="false" ht="15" hidden="false" customHeight="false" outlineLevel="0" collapsed="false">
      <c r="A141" s="38" t="s">
        <v>1599</v>
      </c>
      <c r="B141" s="8" t="s">
        <v>1600</v>
      </c>
      <c r="C141" s="39" t="n">
        <v>132500</v>
      </c>
      <c r="D141" s="40" t="n">
        <v>45184</v>
      </c>
      <c r="E141" s="8" t="n">
        <v>7</v>
      </c>
      <c r="F141" s="39" t="n">
        <v>28000</v>
      </c>
      <c r="G141" s="39" t="n">
        <v>245</v>
      </c>
      <c r="H141" s="39" t="n">
        <v>12</v>
      </c>
      <c r="I141" s="39" t="n">
        <v>64</v>
      </c>
      <c r="J141" s="39" t="n">
        <v>73</v>
      </c>
      <c r="K141" s="8" t="s">
        <v>1243</v>
      </c>
      <c r="L141" s="41" t="s">
        <v>1601</v>
      </c>
      <c r="M141" s="42" t="n">
        <f aca="false">IFERROR(I141/F141,0)</f>
        <v>0.00228571428571429</v>
      </c>
      <c r="N141" s="42" t="n">
        <f aca="false">IFERROR(J141/F141,0)</f>
        <v>0.00260714285714286</v>
      </c>
      <c r="O141" s="8" t="n">
        <v>1</v>
      </c>
      <c r="P141" s="8" t="n">
        <v>0</v>
      </c>
      <c r="Q141" s="8" t="n">
        <v>0</v>
      </c>
      <c r="R141" s="8" t="n">
        <v>0</v>
      </c>
      <c r="S141" s="8" t="n">
        <v>0</v>
      </c>
      <c r="T141" s="8" t="n">
        <v>0</v>
      </c>
      <c r="U141" s="8" t="n">
        <v>0</v>
      </c>
      <c r="V141" s="8" t="n">
        <v>0</v>
      </c>
      <c r="W141" s="8" t="n">
        <v>0</v>
      </c>
      <c r="X141" s="8" t="n">
        <v>0</v>
      </c>
      <c r="Y141" s="8" t="n">
        <v>0</v>
      </c>
      <c r="Z141" s="8" t="n">
        <v>0</v>
      </c>
      <c r="AA141" s="8" t="n">
        <v>0</v>
      </c>
      <c r="AB141" s="8" t="n">
        <v>1</v>
      </c>
      <c r="AC141" s="8" t="n">
        <v>1</v>
      </c>
      <c r="AD141" s="8" t="n">
        <v>0</v>
      </c>
    </row>
    <row r="142" customFormat="false" ht="15" hidden="false" customHeight="false" outlineLevel="0" collapsed="false">
      <c r="A142" s="38" t="s">
        <v>1602</v>
      </c>
      <c r="B142" s="8" t="s">
        <v>1488</v>
      </c>
      <c r="C142" s="39" t="n">
        <v>14300</v>
      </c>
      <c r="D142" s="40" t="n">
        <v>46119</v>
      </c>
      <c r="E142" s="8" t="n">
        <v>108</v>
      </c>
      <c r="F142" s="39" t="n">
        <v>27200</v>
      </c>
      <c r="G142" s="39" t="n">
        <v>231</v>
      </c>
      <c r="H142" s="39" t="n">
        <v>42</v>
      </c>
      <c r="I142" s="39" t="n">
        <v>155</v>
      </c>
      <c r="J142" s="39" t="n">
        <v>163</v>
      </c>
      <c r="K142" s="8" t="s">
        <v>1240</v>
      </c>
      <c r="L142" s="41" t="s">
        <v>1603</v>
      </c>
      <c r="M142" s="42" t="n">
        <f aca="false">IFERROR(I142/F142,0)</f>
        <v>0.00569852941176471</v>
      </c>
      <c r="N142" s="42" t="n">
        <f aca="false">IFERROR(J142/F142,0)</f>
        <v>0.00599264705882353</v>
      </c>
      <c r="O142" s="8" t="n">
        <v>0</v>
      </c>
      <c r="P142" s="8" t="n">
        <v>0</v>
      </c>
      <c r="Q142" s="8" t="n">
        <v>1</v>
      </c>
      <c r="R142" s="8" t="n">
        <v>0</v>
      </c>
      <c r="S142" s="8" t="n">
        <v>0</v>
      </c>
      <c r="T142" s="8" t="n">
        <v>0</v>
      </c>
      <c r="U142" s="8" t="n">
        <v>0</v>
      </c>
      <c r="V142" s="8" t="n">
        <v>1</v>
      </c>
      <c r="W142" s="8" t="n">
        <v>0</v>
      </c>
      <c r="X142" s="8" t="n">
        <v>0</v>
      </c>
      <c r="Y142" s="8" t="n">
        <v>0</v>
      </c>
      <c r="Z142" s="8" t="n">
        <v>0</v>
      </c>
      <c r="AA142" s="8" t="n">
        <v>0</v>
      </c>
      <c r="AB142" s="8" t="n">
        <v>0</v>
      </c>
      <c r="AC142" s="8" t="n">
        <v>0</v>
      </c>
      <c r="AD142" s="8" t="n">
        <v>0</v>
      </c>
    </row>
    <row r="143" customFormat="false" ht="15" hidden="false" customHeight="false" outlineLevel="0" collapsed="false">
      <c r="A143" s="38" t="s">
        <v>1604</v>
      </c>
      <c r="B143" s="8" t="s">
        <v>1605</v>
      </c>
      <c r="C143" s="39" t="n">
        <v>18800</v>
      </c>
      <c r="D143" s="40" t="n">
        <v>45953</v>
      </c>
      <c r="E143" s="8" t="n">
        <v>19</v>
      </c>
      <c r="F143" s="39" t="n">
        <v>26900</v>
      </c>
      <c r="G143" s="39" t="n">
        <v>947</v>
      </c>
      <c r="H143" s="39" t="n">
        <v>32</v>
      </c>
      <c r="I143" s="39" t="n">
        <v>162</v>
      </c>
      <c r="J143" s="39" t="n">
        <v>157</v>
      </c>
      <c r="K143" s="8" t="s">
        <v>1240</v>
      </c>
      <c r="L143" s="41" t="s">
        <v>1606</v>
      </c>
      <c r="M143" s="42" t="n">
        <f aca="false">IFERROR(I143/F143,0)</f>
        <v>0.00602230483271376</v>
      </c>
      <c r="N143" s="42" t="n">
        <f aca="false">IFERROR(J143/F143,0)</f>
        <v>0.0058364312267658</v>
      </c>
      <c r="O143" s="8" t="n">
        <v>0</v>
      </c>
      <c r="P143" s="8" t="n">
        <v>0</v>
      </c>
      <c r="Q143" s="8" t="n">
        <v>0</v>
      </c>
      <c r="R143" s="8" t="n">
        <v>0</v>
      </c>
      <c r="S143" s="8" t="n">
        <v>0</v>
      </c>
      <c r="T143" s="8" t="n">
        <v>1</v>
      </c>
      <c r="U143" s="8" t="n">
        <v>0</v>
      </c>
      <c r="V143" s="8" t="n">
        <v>0</v>
      </c>
      <c r="W143" s="8" t="n">
        <v>0</v>
      </c>
      <c r="X143" s="8" t="n">
        <v>1</v>
      </c>
      <c r="Y143" s="8" t="n">
        <v>0</v>
      </c>
      <c r="Z143" s="8" t="n">
        <v>0</v>
      </c>
      <c r="AA143" s="8" t="n">
        <v>0</v>
      </c>
      <c r="AB143" s="8" t="n">
        <v>0</v>
      </c>
      <c r="AC143" s="8" t="n">
        <v>0</v>
      </c>
      <c r="AD143" s="8" t="n">
        <v>0</v>
      </c>
    </row>
    <row r="144" customFormat="false" ht="15" hidden="false" customHeight="false" outlineLevel="0" collapsed="false">
      <c r="A144" s="38" t="s">
        <v>1607</v>
      </c>
      <c r="B144" s="8" t="s">
        <v>1608</v>
      </c>
      <c r="C144" s="39" t="n">
        <v>1082</v>
      </c>
      <c r="D144" s="40" t="n">
        <v>46295</v>
      </c>
      <c r="E144" s="8" t="n">
        <v>12</v>
      </c>
      <c r="F144" s="39" t="n">
        <v>26700</v>
      </c>
      <c r="G144" s="39" t="n">
        <v>166</v>
      </c>
      <c r="H144" s="39" t="n">
        <v>2</v>
      </c>
      <c r="I144" s="39" t="n">
        <v>48</v>
      </c>
      <c r="J144" s="39" t="n">
        <v>42</v>
      </c>
      <c r="K144" s="8" t="s">
        <v>1240</v>
      </c>
      <c r="L144" s="41" t="s">
        <v>1609</v>
      </c>
      <c r="M144" s="42" t="n">
        <f aca="false">IFERROR(I144/F144,0)</f>
        <v>0.00179775280898876</v>
      </c>
      <c r="N144" s="42" t="n">
        <f aca="false">IFERROR(J144/F144,0)</f>
        <v>0.00157303370786517</v>
      </c>
      <c r="O144" s="8" t="n">
        <v>0</v>
      </c>
      <c r="P144" s="8" t="n">
        <v>0</v>
      </c>
      <c r="Q144" s="8" t="n">
        <v>0</v>
      </c>
      <c r="R144" s="8" t="n">
        <v>0</v>
      </c>
      <c r="S144" s="8" t="n">
        <v>0</v>
      </c>
      <c r="T144" s="8" t="n">
        <v>1</v>
      </c>
      <c r="U144" s="8" t="n">
        <v>0</v>
      </c>
      <c r="V144" s="8" t="n">
        <v>0</v>
      </c>
      <c r="W144" s="8" t="n">
        <v>0</v>
      </c>
      <c r="X144" s="8" t="n">
        <v>1</v>
      </c>
      <c r="Y144" s="8" t="n">
        <v>0</v>
      </c>
      <c r="Z144" s="8" t="n">
        <v>0</v>
      </c>
      <c r="AA144" s="8" t="n">
        <v>0</v>
      </c>
      <c r="AB144" s="8" t="n">
        <v>0</v>
      </c>
      <c r="AC144" s="8" t="n">
        <v>0</v>
      </c>
      <c r="AD144" s="8" t="n">
        <v>0</v>
      </c>
    </row>
    <row r="145" customFormat="false" ht="15" hidden="false" customHeight="false" outlineLevel="0" collapsed="false">
      <c r="A145" s="38" t="s">
        <v>1610</v>
      </c>
      <c r="B145" s="8" t="s">
        <v>1611</v>
      </c>
      <c r="C145" s="39" t="n">
        <v>399300</v>
      </c>
      <c r="D145" s="40" t="n">
        <v>45877</v>
      </c>
      <c r="E145" s="8" t="n">
        <v>62</v>
      </c>
      <c r="F145" s="39" t="n">
        <v>26500</v>
      </c>
      <c r="G145" s="39" t="n">
        <v>384</v>
      </c>
      <c r="H145" s="39" t="n">
        <v>2</v>
      </c>
      <c r="I145" s="39" t="n">
        <v>93</v>
      </c>
      <c r="J145" s="39" t="n">
        <v>138</v>
      </c>
      <c r="K145" s="8" t="s">
        <v>1240</v>
      </c>
      <c r="L145" s="41" t="s">
        <v>1612</v>
      </c>
      <c r="M145" s="42" t="n">
        <f aca="false">IFERROR(I145/F145,0)</f>
        <v>0.00350943396226415</v>
      </c>
      <c r="N145" s="42" t="n">
        <f aca="false">IFERROR(J145/F145,0)</f>
        <v>0.00520754716981132</v>
      </c>
      <c r="O145" s="8" t="n">
        <v>0</v>
      </c>
      <c r="P145" s="8" t="n">
        <v>0</v>
      </c>
      <c r="Q145" s="8" t="n">
        <v>0</v>
      </c>
      <c r="R145" s="8" t="n">
        <v>0</v>
      </c>
      <c r="S145" s="8" t="n">
        <v>0</v>
      </c>
      <c r="T145" s="8" t="n">
        <v>0</v>
      </c>
      <c r="U145" s="8" t="n">
        <v>0</v>
      </c>
      <c r="V145" s="8" t="n">
        <v>0</v>
      </c>
      <c r="W145" s="8" t="n">
        <v>0</v>
      </c>
      <c r="X145" s="8" t="n">
        <v>1</v>
      </c>
      <c r="Y145" s="8" t="n">
        <v>0</v>
      </c>
      <c r="Z145" s="8" t="n">
        <v>0</v>
      </c>
      <c r="AA145" s="8" t="n">
        <v>0</v>
      </c>
      <c r="AB145" s="8" t="n">
        <v>0</v>
      </c>
      <c r="AC145" s="8" t="n">
        <v>0</v>
      </c>
      <c r="AD145" s="8" t="n">
        <v>0</v>
      </c>
    </row>
    <row r="146" customFormat="false" ht="15" hidden="false" customHeight="false" outlineLevel="0" collapsed="false">
      <c r="A146" s="38" t="s">
        <v>1613</v>
      </c>
      <c r="B146" s="8" t="s">
        <v>1614</v>
      </c>
      <c r="C146" s="39" t="n">
        <v>4857</v>
      </c>
      <c r="D146" s="40" t="n">
        <v>46202</v>
      </c>
      <c r="E146" s="8" t="n">
        <v>17</v>
      </c>
      <c r="F146" s="39" t="n">
        <v>26200</v>
      </c>
      <c r="G146" s="39" t="n">
        <v>307</v>
      </c>
      <c r="H146" s="39" t="n">
        <v>10</v>
      </c>
      <c r="I146" s="39" t="n">
        <v>41</v>
      </c>
      <c r="J146" s="39" t="n">
        <v>37</v>
      </c>
      <c r="K146" s="8" t="s">
        <v>1240</v>
      </c>
      <c r="L146" s="41" t="s">
        <v>1615</v>
      </c>
      <c r="M146" s="42" t="n">
        <f aca="false">IFERROR(I146/F146,0)</f>
        <v>0.00156488549618321</v>
      </c>
      <c r="N146" s="42" t="n">
        <f aca="false">IFERROR(J146/F146,0)</f>
        <v>0.00141221374045802</v>
      </c>
      <c r="O146" s="8" t="n">
        <v>0</v>
      </c>
      <c r="P146" s="8" t="n">
        <v>0</v>
      </c>
      <c r="Q146" s="8" t="n">
        <v>0</v>
      </c>
      <c r="R146" s="8" t="n">
        <v>0</v>
      </c>
      <c r="S146" s="8" t="n">
        <v>0</v>
      </c>
      <c r="T146" s="8" t="n">
        <v>0</v>
      </c>
      <c r="U146" s="8" t="n">
        <v>0</v>
      </c>
      <c r="V146" s="8" t="n">
        <v>0</v>
      </c>
      <c r="W146" s="8" t="n">
        <v>0</v>
      </c>
      <c r="X146" s="8" t="n">
        <v>0</v>
      </c>
      <c r="Y146" s="8" t="n">
        <v>0</v>
      </c>
      <c r="Z146" s="8" t="n">
        <v>0</v>
      </c>
      <c r="AA146" s="8" t="n">
        <v>0</v>
      </c>
      <c r="AB146" s="8" t="n">
        <v>0</v>
      </c>
      <c r="AC146" s="8" t="n">
        <v>0</v>
      </c>
      <c r="AD146" s="8" t="n">
        <v>0</v>
      </c>
    </row>
    <row r="147" customFormat="false" ht="15" hidden="false" customHeight="false" outlineLevel="0" collapsed="false">
      <c r="A147" s="38" t="s">
        <v>1616</v>
      </c>
      <c r="B147" s="8" t="s">
        <v>1436</v>
      </c>
      <c r="C147" s="39" t="n">
        <v>35100</v>
      </c>
      <c r="D147" s="40" t="n">
        <v>45444</v>
      </c>
      <c r="E147" s="8" t="n">
        <v>29</v>
      </c>
      <c r="F147" s="39" t="n">
        <v>26200</v>
      </c>
      <c r="G147" s="39" t="n">
        <v>435</v>
      </c>
      <c r="H147" s="39" t="n">
        <v>5</v>
      </c>
      <c r="I147" s="39" t="n">
        <v>35</v>
      </c>
      <c r="J147" s="39" t="n">
        <v>63</v>
      </c>
      <c r="K147" s="8" t="s">
        <v>1243</v>
      </c>
      <c r="L147" s="41" t="s">
        <v>1617</v>
      </c>
      <c r="M147" s="42" t="n">
        <f aca="false">IFERROR(I147/F147,0)</f>
        <v>0.00133587786259542</v>
      </c>
      <c r="N147" s="42" t="n">
        <f aca="false">IFERROR(J147/F147,0)</f>
        <v>0.00240458015267176</v>
      </c>
      <c r="O147" s="8" t="n">
        <v>0</v>
      </c>
      <c r="P147" s="8" t="n">
        <v>1</v>
      </c>
      <c r="Q147" s="8" t="n">
        <v>0</v>
      </c>
      <c r="R147" s="8" t="n">
        <v>0</v>
      </c>
      <c r="S147" s="8" t="n">
        <v>0</v>
      </c>
      <c r="T147" s="8" t="n">
        <v>0</v>
      </c>
      <c r="U147" s="8" t="n">
        <v>0</v>
      </c>
      <c r="V147" s="8" t="n">
        <v>0</v>
      </c>
      <c r="W147" s="8" t="n">
        <v>0</v>
      </c>
      <c r="X147" s="8" t="n">
        <v>0</v>
      </c>
      <c r="Y147" s="8" t="n">
        <v>0</v>
      </c>
      <c r="Z147" s="8" t="n">
        <v>0</v>
      </c>
      <c r="AA147" s="8" t="n">
        <v>0</v>
      </c>
      <c r="AB147" s="8" t="n">
        <v>1</v>
      </c>
      <c r="AC147" s="8" t="n">
        <v>0</v>
      </c>
      <c r="AD147" s="8" t="n">
        <v>0</v>
      </c>
    </row>
    <row r="148" customFormat="false" ht="15" hidden="false" customHeight="false" outlineLevel="0" collapsed="false">
      <c r="A148" s="38" t="s">
        <v>1618</v>
      </c>
      <c r="B148" s="8" t="s">
        <v>1353</v>
      </c>
      <c r="C148" s="39" t="n">
        <v>12900</v>
      </c>
      <c r="D148" s="40" t="n">
        <v>45718</v>
      </c>
      <c r="E148" s="8" t="n">
        <v>11</v>
      </c>
      <c r="F148" s="39" t="n">
        <v>25600</v>
      </c>
      <c r="G148" s="39" t="n">
        <v>248</v>
      </c>
      <c r="H148" s="39" t="n">
        <v>15</v>
      </c>
      <c r="I148" s="39" t="n">
        <v>75</v>
      </c>
      <c r="J148" s="39" t="n">
        <v>35</v>
      </c>
      <c r="K148" s="8" t="s">
        <v>1243</v>
      </c>
      <c r="L148" s="41" t="s">
        <v>1540</v>
      </c>
      <c r="M148" s="42" t="n">
        <f aca="false">IFERROR(I148/F148,0)</f>
        <v>0.0029296875</v>
      </c>
      <c r="N148" s="42" t="n">
        <f aca="false">IFERROR(J148/F148,0)</f>
        <v>0.0013671875</v>
      </c>
      <c r="O148" s="8" t="n">
        <v>0</v>
      </c>
      <c r="P148" s="8" t="n">
        <v>1</v>
      </c>
      <c r="Q148" s="8" t="n">
        <v>0</v>
      </c>
      <c r="R148" s="8" t="n">
        <v>0</v>
      </c>
      <c r="S148" s="8" t="n">
        <v>0</v>
      </c>
      <c r="T148" s="8" t="n">
        <v>0</v>
      </c>
      <c r="U148" s="8" t="n">
        <v>0</v>
      </c>
      <c r="V148" s="8" t="n">
        <v>0</v>
      </c>
      <c r="W148" s="8" t="n">
        <v>0</v>
      </c>
      <c r="X148" s="8" t="n">
        <v>0</v>
      </c>
      <c r="Y148" s="8" t="n">
        <v>1</v>
      </c>
      <c r="Z148" s="8" t="n">
        <v>0</v>
      </c>
      <c r="AA148" s="8" t="n">
        <v>0</v>
      </c>
      <c r="AB148" s="8" t="n">
        <v>0</v>
      </c>
      <c r="AC148" s="8" t="n">
        <v>0</v>
      </c>
      <c r="AD148" s="8" t="n">
        <v>0</v>
      </c>
    </row>
    <row r="149" customFormat="false" ht="15" hidden="false" customHeight="false" outlineLevel="0" collapsed="false">
      <c r="A149" s="38" t="s">
        <v>1619</v>
      </c>
      <c r="B149" s="8" t="s">
        <v>1605</v>
      </c>
      <c r="C149" s="39" t="n">
        <v>18800</v>
      </c>
      <c r="D149" s="40" t="n">
        <v>46046</v>
      </c>
      <c r="E149" s="8" t="n">
        <v>57</v>
      </c>
      <c r="F149" s="39" t="n">
        <v>25300</v>
      </c>
      <c r="G149" s="39" t="n">
        <v>560</v>
      </c>
      <c r="H149" s="39" t="n">
        <v>32</v>
      </c>
      <c r="I149" s="39" t="n">
        <v>133</v>
      </c>
      <c r="J149" s="39" t="n">
        <v>120</v>
      </c>
      <c r="K149" s="8" t="s">
        <v>1240</v>
      </c>
      <c r="L149" s="41" t="s">
        <v>1620</v>
      </c>
      <c r="M149" s="42" t="n">
        <f aca="false">IFERROR(I149/F149,0)</f>
        <v>0.00525691699604743</v>
      </c>
      <c r="N149" s="42" t="n">
        <f aca="false">IFERROR(J149/F149,0)</f>
        <v>0.00474308300395257</v>
      </c>
      <c r="O149" s="8" t="n">
        <v>0</v>
      </c>
      <c r="P149" s="8" t="n">
        <v>0</v>
      </c>
      <c r="Q149" s="8" t="n">
        <v>0</v>
      </c>
      <c r="R149" s="8" t="n">
        <v>0</v>
      </c>
      <c r="S149" s="8" t="n">
        <v>0</v>
      </c>
      <c r="T149" s="8" t="n">
        <v>0</v>
      </c>
      <c r="U149" s="8" t="n">
        <v>0</v>
      </c>
      <c r="V149" s="8" t="n">
        <v>1</v>
      </c>
      <c r="W149" s="8" t="n">
        <v>0</v>
      </c>
      <c r="X149" s="8" t="n">
        <v>0</v>
      </c>
      <c r="Y149" s="8" t="n">
        <v>0</v>
      </c>
      <c r="Z149" s="8" t="n">
        <v>0</v>
      </c>
      <c r="AA149" s="8" t="n">
        <v>0</v>
      </c>
      <c r="AB149" s="8" t="n">
        <v>0</v>
      </c>
      <c r="AC149" s="8" t="n">
        <v>0</v>
      </c>
      <c r="AD149" s="8" t="n">
        <v>0</v>
      </c>
    </row>
    <row r="150" customFormat="false" ht="15" hidden="false" customHeight="false" outlineLevel="0" collapsed="false">
      <c r="A150" s="38" t="s">
        <v>1621</v>
      </c>
      <c r="B150" s="8" t="s">
        <v>1622</v>
      </c>
      <c r="C150" s="39" t="n">
        <v>1209</v>
      </c>
      <c r="D150" s="40" t="n">
        <v>45859</v>
      </c>
      <c r="E150" s="8" t="n">
        <v>8</v>
      </c>
      <c r="F150" s="39" t="n">
        <v>25200</v>
      </c>
      <c r="G150" s="39" t="n">
        <v>98</v>
      </c>
      <c r="H150" s="39" t="n">
        <v>23</v>
      </c>
      <c r="I150" s="39" t="n">
        <v>125</v>
      </c>
      <c r="J150" s="39" t="n">
        <v>105</v>
      </c>
      <c r="K150" s="8" t="s">
        <v>1240</v>
      </c>
      <c r="L150" s="41" t="s">
        <v>1623</v>
      </c>
      <c r="M150" s="42" t="n">
        <f aca="false">IFERROR(I150/F150,0)</f>
        <v>0.00496031746031746</v>
      </c>
      <c r="N150" s="42" t="n">
        <f aca="false">IFERROR(J150/F150,0)</f>
        <v>0.00416666666666667</v>
      </c>
      <c r="O150" s="8" t="n">
        <v>0</v>
      </c>
      <c r="P150" s="8" t="n">
        <v>0</v>
      </c>
      <c r="Q150" s="8" t="n">
        <v>0</v>
      </c>
      <c r="R150" s="8" t="n">
        <v>0</v>
      </c>
      <c r="S150" s="8" t="n">
        <v>0</v>
      </c>
      <c r="T150" s="8" t="n">
        <v>1</v>
      </c>
      <c r="U150" s="8" t="n">
        <v>0</v>
      </c>
      <c r="V150" s="8" t="n">
        <v>0</v>
      </c>
      <c r="W150" s="8" t="n">
        <v>0</v>
      </c>
      <c r="X150" s="8" t="n">
        <v>1</v>
      </c>
      <c r="Y150" s="8" t="n">
        <v>0</v>
      </c>
      <c r="Z150" s="8" t="n">
        <v>0</v>
      </c>
      <c r="AA150" s="8" t="n">
        <v>0</v>
      </c>
      <c r="AB150" s="8" t="n">
        <v>0</v>
      </c>
      <c r="AC150" s="8" t="n">
        <v>0</v>
      </c>
      <c r="AD150" s="8" t="n">
        <v>0</v>
      </c>
    </row>
    <row r="151" customFormat="false" ht="15" hidden="false" customHeight="false" outlineLevel="0" collapsed="false">
      <c r="A151" s="38" t="s">
        <v>1624</v>
      </c>
      <c r="B151" s="8" t="s">
        <v>1625</v>
      </c>
      <c r="C151" s="39" t="n">
        <v>5882</v>
      </c>
      <c r="D151" s="40" t="n">
        <v>46140</v>
      </c>
      <c r="E151" s="8" t="n">
        <v>15</v>
      </c>
      <c r="F151" s="39" t="n">
        <v>24800</v>
      </c>
      <c r="G151" s="39" t="n">
        <v>676</v>
      </c>
      <c r="H151" s="39" t="n">
        <v>10</v>
      </c>
      <c r="I151" s="39" t="n">
        <v>95</v>
      </c>
      <c r="J151" s="39" t="n">
        <v>136</v>
      </c>
      <c r="K151" s="8" t="s">
        <v>1240</v>
      </c>
      <c r="L151" s="41" t="s">
        <v>1626</v>
      </c>
      <c r="M151" s="42" t="n">
        <f aca="false">IFERROR(I151/F151,0)</f>
        <v>0.00383064516129032</v>
      </c>
      <c r="N151" s="42" t="n">
        <f aca="false">IFERROR(J151/F151,0)</f>
        <v>0.00548387096774194</v>
      </c>
      <c r="O151" s="8" t="n">
        <v>0</v>
      </c>
      <c r="P151" s="8" t="n">
        <v>0</v>
      </c>
      <c r="Q151" s="8" t="n">
        <v>0</v>
      </c>
      <c r="R151" s="8" t="n">
        <v>0</v>
      </c>
      <c r="S151" s="8" t="n">
        <v>0</v>
      </c>
      <c r="T151" s="8" t="n">
        <v>1</v>
      </c>
      <c r="U151" s="8" t="n">
        <v>0</v>
      </c>
      <c r="V151" s="8" t="n">
        <v>0</v>
      </c>
      <c r="W151" s="8" t="n">
        <v>1</v>
      </c>
      <c r="X151" s="8" t="n">
        <v>0</v>
      </c>
      <c r="Y151" s="8" t="n">
        <v>0</v>
      </c>
      <c r="Z151" s="8" t="n">
        <v>0</v>
      </c>
      <c r="AA151" s="8" t="n">
        <v>0</v>
      </c>
      <c r="AB151" s="8" t="n">
        <v>0</v>
      </c>
      <c r="AC151" s="8" t="n">
        <v>0</v>
      </c>
      <c r="AD151" s="8" t="n">
        <v>0</v>
      </c>
    </row>
    <row r="152" customFormat="false" ht="15" hidden="false" customHeight="false" outlineLevel="0" collapsed="false">
      <c r="A152" s="38" t="s">
        <v>1627</v>
      </c>
      <c r="B152" s="8" t="s">
        <v>1628</v>
      </c>
      <c r="C152" s="39" t="n">
        <v>2929</v>
      </c>
      <c r="D152" s="40" t="n">
        <v>46079</v>
      </c>
      <c r="E152" s="8" t="n">
        <v>10</v>
      </c>
      <c r="F152" s="39" t="n">
        <v>24600</v>
      </c>
      <c r="G152" s="39" t="n">
        <v>436</v>
      </c>
      <c r="H152" s="39" t="n">
        <v>10</v>
      </c>
      <c r="I152" s="39" t="n">
        <v>63</v>
      </c>
      <c r="J152" s="39" t="n">
        <v>58</v>
      </c>
      <c r="K152" s="8" t="s">
        <v>1240</v>
      </c>
      <c r="L152" s="41" t="s">
        <v>1629</v>
      </c>
      <c r="M152" s="42" t="n">
        <f aca="false">IFERROR(I152/F152,0)</f>
        <v>0.0025609756097561</v>
      </c>
      <c r="N152" s="42" t="n">
        <f aca="false">IFERROR(J152/F152,0)</f>
        <v>0.00235772357723577</v>
      </c>
      <c r="O152" s="8" t="n">
        <v>0</v>
      </c>
      <c r="P152" s="8" t="n">
        <v>0</v>
      </c>
      <c r="Q152" s="8" t="n">
        <v>0</v>
      </c>
      <c r="R152" s="8" t="n">
        <v>0</v>
      </c>
      <c r="S152" s="8" t="n">
        <v>0</v>
      </c>
      <c r="T152" s="8" t="n">
        <v>1</v>
      </c>
      <c r="U152" s="8" t="n">
        <v>0</v>
      </c>
      <c r="V152" s="8" t="n">
        <v>0</v>
      </c>
      <c r="W152" s="8" t="n">
        <v>0</v>
      </c>
      <c r="X152" s="8" t="n">
        <v>1</v>
      </c>
      <c r="Y152" s="8" t="n">
        <v>0</v>
      </c>
      <c r="Z152" s="8" t="n">
        <v>0</v>
      </c>
      <c r="AA152" s="8" t="n">
        <v>0</v>
      </c>
      <c r="AB152" s="8" t="n">
        <v>0</v>
      </c>
      <c r="AC152" s="8" t="n">
        <v>0</v>
      </c>
      <c r="AD152" s="8" t="n">
        <v>0</v>
      </c>
    </row>
    <row r="153" customFormat="false" ht="15" hidden="false" customHeight="false" outlineLevel="0" collapsed="false">
      <c r="A153" s="38" t="s">
        <v>1630</v>
      </c>
      <c r="B153" s="8" t="s">
        <v>1631</v>
      </c>
      <c r="C153" s="39" t="n">
        <v>12000</v>
      </c>
      <c r="D153" s="40" t="n">
        <v>46052</v>
      </c>
      <c r="E153" s="8" t="n">
        <v>8</v>
      </c>
      <c r="F153" s="39" t="n">
        <v>24200</v>
      </c>
      <c r="G153" s="39" t="n">
        <v>335</v>
      </c>
      <c r="H153" s="39" t="n">
        <v>7</v>
      </c>
      <c r="I153" s="39" t="n">
        <v>128</v>
      </c>
      <c r="J153" s="39" t="n">
        <v>71</v>
      </c>
      <c r="K153" s="8" t="s">
        <v>1240</v>
      </c>
      <c r="L153" s="41" t="s">
        <v>1632</v>
      </c>
      <c r="M153" s="42" t="n">
        <f aca="false">IFERROR(I153/F153,0)</f>
        <v>0.00528925619834711</v>
      </c>
      <c r="N153" s="42" t="n">
        <f aca="false">IFERROR(J153/F153,0)</f>
        <v>0.00293388429752066</v>
      </c>
      <c r="O153" s="8" t="n">
        <v>0</v>
      </c>
      <c r="P153" s="8" t="n">
        <v>0</v>
      </c>
      <c r="Q153" s="8" t="n">
        <v>0</v>
      </c>
      <c r="R153" s="8" t="n">
        <v>0</v>
      </c>
      <c r="S153" s="8" t="n">
        <v>0</v>
      </c>
      <c r="T153" s="8" t="n">
        <v>0</v>
      </c>
      <c r="U153" s="8" t="n">
        <v>0</v>
      </c>
      <c r="V153" s="8" t="n">
        <v>1</v>
      </c>
      <c r="W153" s="8" t="n">
        <v>0</v>
      </c>
      <c r="X153" s="8" t="n">
        <v>0</v>
      </c>
      <c r="Y153" s="8" t="n">
        <v>0</v>
      </c>
      <c r="Z153" s="8" t="n">
        <v>0</v>
      </c>
      <c r="AA153" s="8" t="n">
        <v>0</v>
      </c>
      <c r="AB153" s="8" t="n">
        <v>0</v>
      </c>
      <c r="AC153" s="8" t="n">
        <v>0</v>
      </c>
      <c r="AD153" s="8" t="n">
        <v>0</v>
      </c>
    </row>
    <row r="154" customFormat="false" ht="15" hidden="false" customHeight="false" outlineLevel="0" collapsed="false">
      <c r="A154" s="38" t="s">
        <v>1633</v>
      </c>
      <c r="B154" s="8" t="s">
        <v>1634</v>
      </c>
      <c r="C154" s="39" t="n">
        <v>2279</v>
      </c>
      <c r="D154" s="40" t="n">
        <v>46065</v>
      </c>
      <c r="E154" s="8" t="n">
        <v>74</v>
      </c>
      <c r="F154" s="39" t="n">
        <v>24000</v>
      </c>
      <c r="G154" s="39" t="n">
        <v>178</v>
      </c>
      <c r="H154" s="39" t="n">
        <v>14</v>
      </c>
      <c r="I154" s="39" t="n">
        <v>19</v>
      </c>
      <c r="J154" s="39" t="n">
        <v>13</v>
      </c>
      <c r="K154" s="8" t="s">
        <v>1243</v>
      </c>
      <c r="L154" s="41" t="s">
        <v>1635</v>
      </c>
      <c r="M154" s="42" t="n">
        <f aca="false">IFERROR(I154/F154,0)</f>
        <v>0.000791666666666667</v>
      </c>
      <c r="N154" s="42" t="n">
        <f aca="false">IFERROR(J154/F154,0)</f>
        <v>0.000541666666666667</v>
      </c>
      <c r="O154" s="8" t="n">
        <v>1</v>
      </c>
      <c r="P154" s="8" t="n">
        <v>0</v>
      </c>
      <c r="Q154" s="8" t="n">
        <v>0</v>
      </c>
      <c r="R154" s="8" t="n">
        <v>1</v>
      </c>
      <c r="S154" s="8" t="n">
        <v>0</v>
      </c>
      <c r="T154" s="8" t="n">
        <v>0</v>
      </c>
      <c r="U154" s="8" t="n">
        <v>0</v>
      </c>
      <c r="V154" s="8" t="n">
        <v>0</v>
      </c>
      <c r="W154" s="8" t="n">
        <v>0</v>
      </c>
      <c r="X154" s="8" t="n">
        <v>1</v>
      </c>
      <c r="Y154" s="8" t="n">
        <v>0</v>
      </c>
      <c r="Z154" s="8" t="n">
        <v>0</v>
      </c>
      <c r="AA154" s="8" t="n">
        <v>0</v>
      </c>
      <c r="AB154" s="8" t="n">
        <v>0</v>
      </c>
      <c r="AC154" s="8" t="n">
        <v>0</v>
      </c>
      <c r="AD154" s="8" t="n">
        <v>0</v>
      </c>
    </row>
    <row r="155" customFormat="false" ht="15" hidden="false" customHeight="false" outlineLevel="0" collapsed="false">
      <c r="A155" s="38" t="s">
        <v>1636</v>
      </c>
      <c r="B155" s="8" t="s">
        <v>1637</v>
      </c>
      <c r="C155" s="39" t="n">
        <v>20400</v>
      </c>
      <c r="D155" s="40" t="n">
        <v>46145</v>
      </c>
      <c r="E155" s="8" t="n">
        <v>32</v>
      </c>
      <c r="F155" s="39" t="n">
        <v>23700</v>
      </c>
      <c r="G155" s="39" t="n">
        <v>800</v>
      </c>
      <c r="H155" s="39" t="n">
        <v>16</v>
      </c>
      <c r="I155" s="39" t="n">
        <v>97</v>
      </c>
      <c r="J155" s="39" t="n">
        <v>106</v>
      </c>
      <c r="K155" s="8" t="s">
        <v>1240</v>
      </c>
      <c r="L155" s="41" t="s">
        <v>1638</v>
      </c>
      <c r="M155" s="42" t="n">
        <f aca="false">IFERROR(I155/F155,0)</f>
        <v>0.00409282700421941</v>
      </c>
      <c r="N155" s="42" t="n">
        <f aca="false">IFERROR(J155/F155,0)</f>
        <v>0.00447257383966245</v>
      </c>
      <c r="O155" s="8" t="n">
        <v>0</v>
      </c>
      <c r="P155" s="8" t="n">
        <v>1</v>
      </c>
      <c r="Q155" s="8" t="n">
        <v>0</v>
      </c>
      <c r="R155" s="8" t="n">
        <v>0</v>
      </c>
      <c r="S155" s="8" t="n">
        <v>0</v>
      </c>
      <c r="T155" s="8" t="n">
        <v>1</v>
      </c>
      <c r="U155" s="8" t="n">
        <v>0</v>
      </c>
      <c r="V155" s="8" t="n">
        <v>0</v>
      </c>
      <c r="W155" s="8" t="n">
        <v>1</v>
      </c>
      <c r="X155" s="8" t="n">
        <v>0</v>
      </c>
      <c r="Y155" s="8" t="n">
        <v>0</v>
      </c>
      <c r="Z155" s="8" t="n">
        <v>0</v>
      </c>
      <c r="AA155" s="8" t="n">
        <v>0</v>
      </c>
      <c r="AB155" s="8" t="n">
        <v>0</v>
      </c>
      <c r="AC155" s="8" t="n">
        <v>0</v>
      </c>
      <c r="AD155" s="8" t="n">
        <v>0</v>
      </c>
    </row>
    <row r="156" customFormat="false" ht="15" hidden="false" customHeight="false" outlineLevel="0" collapsed="false">
      <c r="A156" s="38" t="s">
        <v>1639</v>
      </c>
      <c r="B156" s="8" t="s">
        <v>1640</v>
      </c>
      <c r="C156" s="39" t="n">
        <v>3247</v>
      </c>
      <c r="D156" s="40" t="n">
        <v>46035</v>
      </c>
      <c r="E156" s="8" t="n">
        <v>21</v>
      </c>
      <c r="F156" s="39" t="n">
        <v>23700</v>
      </c>
      <c r="G156" s="39" t="n">
        <v>144</v>
      </c>
      <c r="H156" s="39" t="n">
        <v>7</v>
      </c>
      <c r="I156" s="39" t="n">
        <v>144</v>
      </c>
      <c r="J156" s="39" t="n">
        <v>101</v>
      </c>
      <c r="K156" s="8" t="s">
        <v>1243</v>
      </c>
      <c r="L156" s="41" t="s">
        <v>1641</v>
      </c>
      <c r="M156" s="42" t="n">
        <f aca="false">IFERROR(I156/F156,0)</f>
        <v>0.00607594936708861</v>
      </c>
      <c r="N156" s="42" t="n">
        <f aca="false">IFERROR(J156/F156,0)</f>
        <v>0.00426160337552743</v>
      </c>
      <c r="O156" s="8" t="n">
        <v>0</v>
      </c>
      <c r="P156" s="8" t="n">
        <v>0</v>
      </c>
      <c r="Q156" s="8" t="n">
        <v>0</v>
      </c>
      <c r="R156" s="8" t="n">
        <v>0</v>
      </c>
      <c r="S156" s="8" t="n">
        <v>0</v>
      </c>
      <c r="T156" s="8" t="n">
        <v>0</v>
      </c>
      <c r="U156" s="8" t="n">
        <v>0</v>
      </c>
      <c r="V156" s="8" t="n">
        <v>0</v>
      </c>
      <c r="W156" s="8" t="n">
        <v>0</v>
      </c>
      <c r="X156" s="8" t="n">
        <v>0</v>
      </c>
      <c r="Y156" s="8" t="n">
        <v>0</v>
      </c>
      <c r="Z156" s="8" t="n">
        <v>0</v>
      </c>
      <c r="AA156" s="8" t="n">
        <v>0</v>
      </c>
      <c r="AB156" s="8" t="n">
        <v>1</v>
      </c>
      <c r="AC156" s="8" t="n">
        <v>0</v>
      </c>
      <c r="AD156" s="8" t="n">
        <v>0</v>
      </c>
    </row>
    <row r="157" customFormat="false" ht="15" hidden="false" customHeight="false" outlineLevel="0" collapsed="false">
      <c r="A157" s="38" t="s">
        <v>1642</v>
      </c>
      <c r="B157" s="8" t="s">
        <v>1353</v>
      </c>
      <c r="C157" s="39" t="n">
        <v>12900</v>
      </c>
      <c r="D157" s="40" t="n">
        <v>45723</v>
      </c>
      <c r="E157" s="8" t="n">
        <v>48</v>
      </c>
      <c r="F157" s="39" t="n">
        <v>23600</v>
      </c>
      <c r="G157" s="39" t="n">
        <v>252</v>
      </c>
      <c r="H157" s="39" t="n">
        <v>19</v>
      </c>
      <c r="I157" s="39" t="n">
        <v>109</v>
      </c>
      <c r="J157" s="39" t="n">
        <v>55</v>
      </c>
      <c r="K157" s="8" t="s">
        <v>1243</v>
      </c>
      <c r="L157" s="41" t="s">
        <v>1643</v>
      </c>
      <c r="M157" s="42" t="n">
        <f aca="false">IFERROR(I157/F157,0)</f>
        <v>0.00461864406779661</v>
      </c>
      <c r="N157" s="42" t="n">
        <f aca="false">IFERROR(J157/F157,0)</f>
        <v>0.00233050847457627</v>
      </c>
      <c r="O157" s="8" t="n">
        <v>0</v>
      </c>
      <c r="P157" s="8" t="n">
        <v>1</v>
      </c>
      <c r="Q157" s="8" t="n">
        <v>0</v>
      </c>
      <c r="R157" s="8" t="n">
        <v>0</v>
      </c>
      <c r="S157" s="8" t="n">
        <v>0</v>
      </c>
      <c r="T157" s="8" t="n">
        <v>0</v>
      </c>
      <c r="U157" s="8" t="n">
        <v>0</v>
      </c>
      <c r="V157" s="8" t="n">
        <v>0</v>
      </c>
      <c r="W157" s="8" t="n">
        <v>0</v>
      </c>
      <c r="X157" s="8" t="n">
        <v>0</v>
      </c>
      <c r="Y157" s="8" t="n">
        <v>1</v>
      </c>
      <c r="Z157" s="8" t="n">
        <v>0</v>
      </c>
      <c r="AA157" s="8" t="n">
        <v>0</v>
      </c>
      <c r="AB157" s="8" t="n">
        <v>0</v>
      </c>
      <c r="AC157" s="8" t="n">
        <v>0</v>
      </c>
      <c r="AD157" s="8" t="n">
        <v>0</v>
      </c>
    </row>
    <row r="158" customFormat="false" ht="15" hidden="false" customHeight="false" outlineLevel="0" collapsed="false">
      <c r="A158" s="38" t="s">
        <v>1644</v>
      </c>
      <c r="B158" s="8" t="s">
        <v>1645</v>
      </c>
      <c r="C158" s="39" t="n">
        <v>72</v>
      </c>
      <c r="D158" s="40" t="n">
        <v>45009</v>
      </c>
      <c r="E158" s="8" t="n">
        <v>3</v>
      </c>
      <c r="F158" s="39" t="n">
        <v>23500</v>
      </c>
      <c r="G158" s="39" t="n">
        <v>38</v>
      </c>
      <c r="H158" s="39" t="n">
        <v>1</v>
      </c>
      <c r="I158" s="39" t="n">
        <v>34</v>
      </c>
      <c r="J158" s="39" t="n">
        <v>20</v>
      </c>
      <c r="K158" s="8" t="s">
        <v>1240</v>
      </c>
      <c r="L158" s="41" t="s">
        <v>1646</v>
      </c>
      <c r="M158" s="42" t="n">
        <f aca="false">IFERROR(I158/F158,0)</f>
        <v>0.0014468085106383</v>
      </c>
      <c r="N158" s="42" t="n">
        <f aca="false">IFERROR(J158/F158,0)</f>
        <v>0.000851063829787234</v>
      </c>
      <c r="O158" s="8" t="n">
        <v>0</v>
      </c>
      <c r="P158" s="8" t="n">
        <v>0</v>
      </c>
      <c r="Q158" s="8" t="n">
        <v>0</v>
      </c>
      <c r="R158" s="8" t="n">
        <v>0</v>
      </c>
      <c r="S158" s="8" t="n">
        <v>0</v>
      </c>
      <c r="T158" s="8" t="n">
        <v>1</v>
      </c>
      <c r="U158" s="8" t="n">
        <v>0</v>
      </c>
      <c r="V158" s="8" t="n">
        <v>0</v>
      </c>
      <c r="W158" s="8" t="n">
        <v>1</v>
      </c>
      <c r="X158" s="8" t="n">
        <v>0</v>
      </c>
      <c r="Y158" s="8" t="n">
        <v>0</v>
      </c>
      <c r="Z158" s="8" t="n">
        <v>0</v>
      </c>
      <c r="AA158" s="8" t="n">
        <v>0</v>
      </c>
      <c r="AB158" s="8" t="n">
        <v>0</v>
      </c>
      <c r="AC158" s="8" t="n">
        <v>0</v>
      </c>
      <c r="AD158" s="8" t="n">
        <v>0</v>
      </c>
    </row>
    <row r="159" customFormat="false" ht="15" hidden="false" customHeight="false" outlineLevel="0" collapsed="false">
      <c r="A159" s="38" t="s">
        <v>1647</v>
      </c>
      <c r="B159" s="8" t="s">
        <v>1455</v>
      </c>
      <c r="C159" s="39" t="n">
        <v>4836</v>
      </c>
      <c r="D159" s="40" t="n">
        <v>44398</v>
      </c>
      <c r="E159" s="8" t="n">
        <v>20</v>
      </c>
      <c r="F159" s="39" t="n">
        <v>22600</v>
      </c>
      <c r="G159" s="39" t="n">
        <v>132</v>
      </c>
      <c r="H159" s="39" t="n">
        <v>17</v>
      </c>
      <c r="I159" s="39" t="n">
        <v>5</v>
      </c>
      <c r="J159" s="39" t="n">
        <v>4</v>
      </c>
      <c r="K159" s="8" t="s">
        <v>1240</v>
      </c>
      <c r="L159" s="41" t="s">
        <v>1648</v>
      </c>
      <c r="M159" s="42" t="n">
        <f aca="false">IFERROR(I159/F159,0)</f>
        <v>0.000221238938053097</v>
      </c>
      <c r="N159" s="42" t="n">
        <f aca="false">IFERROR(J159/F159,0)</f>
        <v>0.000176991150442478</v>
      </c>
      <c r="O159" s="8" t="n">
        <v>0</v>
      </c>
      <c r="P159" s="8" t="n">
        <v>1</v>
      </c>
      <c r="Q159" s="8" t="n">
        <v>0</v>
      </c>
      <c r="R159" s="8" t="n">
        <v>0</v>
      </c>
      <c r="S159" s="8" t="n">
        <v>0</v>
      </c>
      <c r="T159" s="8" t="n">
        <v>0</v>
      </c>
      <c r="U159" s="8" t="n">
        <v>0</v>
      </c>
      <c r="V159" s="8" t="n">
        <v>0</v>
      </c>
      <c r="W159" s="8" t="n">
        <v>0</v>
      </c>
      <c r="X159" s="8" t="n">
        <v>0</v>
      </c>
      <c r="Y159" s="8" t="n">
        <v>0</v>
      </c>
      <c r="Z159" s="8" t="n">
        <v>0</v>
      </c>
      <c r="AA159" s="8" t="n">
        <v>0</v>
      </c>
      <c r="AB159" s="8" t="n">
        <v>0</v>
      </c>
      <c r="AC159" s="8" t="n">
        <v>0</v>
      </c>
      <c r="AD159" s="8" t="n">
        <v>0</v>
      </c>
    </row>
    <row r="160" customFormat="false" ht="15" hidden="false" customHeight="false" outlineLevel="0" collapsed="false">
      <c r="A160" s="38" t="s">
        <v>1649</v>
      </c>
      <c r="B160" s="8" t="s">
        <v>1650</v>
      </c>
      <c r="C160" s="39" t="n">
        <v>2127</v>
      </c>
      <c r="D160" s="40" t="n">
        <v>46139</v>
      </c>
      <c r="E160" s="8" t="n">
        <v>148</v>
      </c>
      <c r="F160" s="39" t="n">
        <v>22400</v>
      </c>
      <c r="G160" s="39" t="n">
        <v>490</v>
      </c>
      <c r="H160" s="39" t="n">
        <v>46</v>
      </c>
      <c r="I160" s="39" t="n">
        <v>97</v>
      </c>
      <c r="J160" s="39" t="n">
        <v>108</v>
      </c>
      <c r="K160" s="8" t="s">
        <v>1243</v>
      </c>
      <c r="L160" s="41" t="s">
        <v>1651</v>
      </c>
      <c r="M160" s="42" t="n">
        <f aca="false">IFERROR(I160/F160,0)</f>
        <v>0.00433035714285714</v>
      </c>
      <c r="N160" s="42" t="n">
        <f aca="false">IFERROR(J160/F160,0)</f>
        <v>0.00482142857142857</v>
      </c>
      <c r="O160" s="8" t="n">
        <v>1</v>
      </c>
      <c r="P160" s="8" t="n">
        <v>0</v>
      </c>
      <c r="Q160" s="8" t="n">
        <v>0</v>
      </c>
      <c r="R160" s="8" t="n">
        <v>0</v>
      </c>
      <c r="S160" s="8" t="n">
        <v>0</v>
      </c>
      <c r="T160" s="8" t="n">
        <v>0</v>
      </c>
      <c r="U160" s="8" t="n">
        <v>0</v>
      </c>
      <c r="V160" s="8" t="n">
        <v>0</v>
      </c>
      <c r="W160" s="8" t="n">
        <v>0</v>
      </c>
      <c r="X160" s="8" t="n">
        <v>1</v>
      </c>
      <c r="Y160" s="8" t="n">
        <v>0</v>
      </c>
      <c r="Z160" s="8" t="n">
        <v>0</v>
      </c>
      <c r="AA160" s="8" t="n">
        <v>0</v>
      </c>
      <c r="AB160" s="8" t="n">
        <v>0</v>
      </c>
      <c r="AC160" s="8" t="n">
        <v>0</v>
      </c>
      <c r="AD160" s="8" t="n">
        <v>0</v>
      </c>
    </row>
    <row r="161" customFormat="false" ht="15" hidden="false" customHeight="false" outlineLevel="0" collapsed="false">
      <c r="A161" s="38" t="s">
        <v>1652</v>
      </c>
      <c r="B161" s="8" t="s">
        <v>1653</v>
      </c>
      <c r="C161" s="39" t="n">
        <v>3697</v>
      </c>
      <c r="D161" s="40" t="n">
        <v>46069</v>
      </c>
      <c r="E161" s="8" t="n">
        <v>41</v>
      </c>
      <c r="F161" s="39" t="n">
        <v>21900</v>
      </c>
      <c r="G161" s="39" t="n">
        <v>126</v>
      </c>
      <c r="H161" s="39" t="n">
        <v>17</v>
      </c>
      <c r="I161" s="39" t="n">
        <v>64</v>
      </c>
      <c r="J161" s="39" t="n">
        <v>104</v>
      </c>
      <c r="K161" s="8" t="s">
        <v>1240</v>
      </c>
      <c r="L161" s="41" t="s">
        <v>1654</v>
      </c>
      <c r="M161" s="42" t="n">
        <f aca="false">IFERROR(I161/F161,0)</f>
        <v>0.00292237442922374</v>
      </c>
      <c r="N161" s="42" t="n">
        <f aca="false">IFERROR(J161/F161,0)</f>
        <v>0.00474885844748858</v>
      </c>
      <c r="O161" s="8" t="n">
        <v>0</v>
      </c>
      <c r="P161" s="8" t="n">
        <v>0</v>
      </c>
      <c r="Q161" s="8" t="n">
        <v>0</v>
      </c>
      <c r="R161" s="8" t="n">
        <v>0</v>
      </c>
      <c r="S161" s="8" t="n">
        <v>0</v>
      </c>
      <c r="T161" s="8" t="n">
        <v>1</v>
      </c>
      <c r="U161" s="8" t="n">
        <v>0</v>
      </c>
      <c r="V161" s="8" t="n">
        <v>0</v>
      </c>
      <c r="W161" s="8" t="n">
        <v>0</v>
      </c>
      <c r="X161" s="8" t="n">
        <v>0</v>
      </c>
      <c r="Y161" s="8" t="n">
        <v>0</v>
      </c>
      <c r="Z161" s="8" t="n">
        <v>0</v>
      </c>
      <c r="AA161" s="8" t="n">
        <v>0</v>
      </c>
      <c r="AB161" s="8" t="n">
        <v>0</v>
      </c>
      <c r="AC161" s="8" t="n">
        <v>0</v>
      </c>
      <c r="AD161" s="8" t="n">
        <v>0</v>
      </c>
    </row>
    <row r="162" customFormat="false" ht="15" hidden="false" customHeight="false" outlineLevel="0" collapsed="false">
      <c r="A162" s="38" t="s">
        <v>1655</v>
      </c>
      <c r="B162" s="8" t="s">
        <v>1656</v>
      </c>
      <c r="C162" s="39" t="n">
        <v>1081</v>
      </c>
      <c r="D162" s="40" t="n">
        <v>45995</v>
      </c>
      <c r="E162" s="8" t="n">
        <v>22</v>
      </c>
      <c r="F162" s="39" t="n">
        <v>21600</v>
      </c>
      <c r="G162" s="39" t="n">
        <v>584</v>
      </c>
      <c r="H162" s="39" t="n">
        <v>4</v>
      </c>
      <c r="I162" s="39" t="n">
        <v>83</v>
      </c>
      <c r="J162" s="39" t="n">
        <v>35</v>
      </c>
      <c r="K162" s="8" t="s">
        <v>1243</v>
      </c>
      <c r="L162" s="41" t="s">
        <v>1657</v>
      </c>
      <c r="M162" s="42" t="n">
        <f aca="false">IFERROR(I162/F162,0)</f>
        <v>0.00384259259259259</v>
      </c>
      <c r="N162" s="42" t="n">
        <f aca="false">IFERROR(J162/F162,0)</f>
        <v>0.00162037037037037</v>
      </c>
      <c r="O162" s="8" t="n">
        <v>0</v>
      </c>
      <c r="P162" s="8" t="n">
        <v>1</v>
      </c>
      <c r="Q162" s="8" t="n">
        <v>0</v>
      </c>
      <c r="R162" s="8" t="n">
        <v>0</v>
      </c>
      <c r="S162" s="8" t="n">
        <v>0</v>
      </c>
      <c r="T162" s="8" t="n">
        <v>0</v>
      </c>
      <c r="U162" s="8" t="n">
        <v>0</v>
      </c>
      <c r="V162" s="8" t="n">
        <v>0</v>
      </c>
      <c r="W162" s="8" t="n">
        <v>0</v>
      </c>
      <c r="X162" s="8" t="n">
        <v>0</v>
      </c>
      <c r="Y162" s="8" t="n">
        <v>0</v>
      </c>
      <c r="Z162" s="8" t="n">
        <v>0</v>
      </c>
      <c r="AA162" s="8" t="n">
        <v>0</v>
      </c>
      <c r="AB162" s="8" t="n">
        <v>0</v>
      </c>
      <c r="AC162" s="8" t="n">
        <v>0</v>
      </c>
      <c r="AD162" s="8" t="n">
        <v>0</v>
      </c>
    </row>
    <row r="163" customFormat="false" ht="15" hidden="false" customHeight="false" outlineLevel="0" collapsed="false">
      <c r="A163" s="38" t="s">
        <v>1658</v>
      </c>
      <c r="B163" s="8" t="s">
        <v>1659</v>
      </c>
      <c r="C163" s="39" t="n">
        <v>258</v>
      </c>
      <c r="D163" s="40" t="n">
        <v>46129</v>
      </c>
      <c r="E163" s="8" t="n">
        <v>8</v>
      </c>
      <c r="F163" s="39" t="n">
        <v>20900</v>
      </c>
      <c r="G163" s="39" t="n">
        <v>180</v>
      </c>
      <c r="H163" s="39" t="n">
        <v>36</v>
      </c>
      <c r="I163" s="39" t="n">
        <v>39</v>
      </c>
      <c r="J163" s="39" t="n">
        <v>26</v>
      </c>
      <c r="K163" s="8" t="s">
        <v>1240</v>
      </c>
      <c r="L163" s="41" t="s">
        <v>1660</v>
      </c>
      <c r="M163" s="42" t="n">
        <f aca="false">IFERROR(I163/F163,0)</f>
        <v>0.00186602870813397</v>
      </c>
      <c r="N163" s="42" t="n">
        <f aca="false">IFERROR(J163/F163,0)</f>
        <v>0.00124401913875598</v>
      </c>
      <c r="O163" s="8" t="n">
        <v>0</v>
      </c>
      <c r="P163" s="8" t="n">
        <v>0</v>
      </c>
      <c r="Q163" s="8" t="n">
        <v>0</v>
      </c>
      <c r="R163" s="8" t="n">
        <v>0</v>
      </c>
      <c r="S163" s="8" t="n">
        <v>0</v>
      </c>
      <c r="T163" s="8" t="n">
        <v>0</v>
      </c>
      <c r="U163" s="8" t="n">
        <v>0</v>
      </c>
      <c r="V163" s="8" t="n">
        <v>0</v>
      </c>
      <c r="W163" s="8" t="n">
        <v>1</v>
      </c>
      <c r="X163" s="8" t="n">
        <v>1</v>
      </c>
      <c r="Y163" s="8" t="n">
        <v>0</v>
      </c>
      <c r="Z163" s="8" t="n">
        <v>0</v>
      </c>
      <c r="AA163" s="8" t="n">
        <v>0</v>
      </c>
      <c r="AB163" s="8" t="n">
        <v>0</v>
      </c>
      <c r="AC163" s="8" t="n">
        <v>0</v>
      </c>
      <c r="AD163" s="8" t="n">
        <v>0</v>
      </c>
    </row>
    <row r="164" customFormat="false" ht="15" hidden="false" customHeight="false" outlineLevel="0" collapsed="false">
      <c r="A164" s="38" t="s">
        <v>1661</v>
      </c>
      <c r="B164" s="8" t="s">
        <v>1662</v>
      </c>
      <c r="C164" s="39" t="n">
        <v>100</v>
      </c>
      <c r="D164" s="40" t="n">
        <v>45597</v>
      </c>
      <c r="E164" s="8" t="n">
        <v>62</v>
      </c>
      <c r="F164" s="39" t="n">
        <v>20800</v>
      </c>
      <c r="G164" s="39" t="n">
        <v>160</v>
      </c>
      <c r="H164" s="39" t="n">
        <v>9</v>
      </c>
      <c r="I164" s="39" t="n">
        <v>17</v>
      </c>
      <c r="J164" s="39" t="n">
        <v>29</v>
      </c>
      <c r="K164" s="8" t="s">
        <v>1240</v>
      </c>
      <c r="L164" s="41" t="s">
        <v>1663</v>
      </c>
      <c r="M164" s="42" t="n">
        <f aca="false">IFERROR(I164/F164,0)</f>
        <v>0.000817307692307692</v>
      </c>
      <c r="N164" s="42" t="n">
        <f aca="false">IFERROR(J164/F164,0)</f>
        <v>0.00139423076923077</v>
      </c>
      <c r="O164" s="8" t="n">
        <v>0</v>
      </c>
      <c r="P164" s="8" t="n">
        <v>0</v>
      </c>
      <c r="Q164" s="8" t="n">
        <v>0</v>
      </c>
      <c r="R164" s="8" t="n">
        <v>0</v>
      </c>
      <c r="S164" s="8" t="n">
        <v>0</v>
      </c>
      <c r="T164" s="8" t="n">
        <v>1</v>
      </c>
      <c r="U164" s="8" t="n">
        <v>0</v>
      </c>
      <c r="V164" s="8" t="n">
        <v>0</v>
      </c>
      <c r="W164" s="8" t="n">
        <v>0</v>
      </c>
      <c r="X164" s="8" t="n">
        <v>1</v>
      </c>
      <c r="Y164" s="8" t="n">
        <v>0</v>
      </c>
      <c r="Z164" s="8" t="n">
        <v>0</v>
      </c>
      <c r="AA164" s="8" t="n">
        <v>0</v>
      </c>
      <c r="AB164" s="8" t="n">
        <v>0</v>
      </c>
      <c r="AC164" s="8" t="n">
        <v>0</v>
      </c>
      <c r="AD164" s="8" t="n">
        <v>0</v>
      </c>
    </row>
    <row r="165" customFormat="false" ht="15" hidden="false" customHeight="false" outlineLevel="0" collapsed="false">
      <c r="A165" s="38" t="s">
        <v>1664</v>
      </c>
      <c r="B165" s="8" t="s">
        <v>1605</v>
      </c>
      <c r="C165" s="39" t="n">
        <v>18800</v>
      </c>
      <c r="D165" s="40" t="n">
        <v>45862</v>
      </c>
      <c r="E165" s="8" t="n">
        <v>21</v>
      </c>
      <c r="F165" s="39" t="n">
        <v>20700</v>
      </c>
      <c r="G165" s="39" t="n">
        <v>140</v>
      </c>
      <c r="H165" s="39" t="n">
        <v>13</v>
      </c>
      <c r="I165" s="39" t="n">
        <v>120</v>
      </c>
      <c r="J165" s="39" t="n">
        <v>61</v>
      </c>
      <c r="K165" s="8" t="s">
        <v>1240</v>
      </c>
      <c r="L165" s="41" t="s">
        <v>1665</v>
      </c>
      <c r="M165" s="42" t="n">
        <f aca="false">IFERROR(I165/F165,0)</f>
        <v>0.00579710144927536</v>
      </c>
      <c r="N165" s="42" t="n">
        <f aca="false">IFERROR(J165/F165,0)</f>
        <v>0.00294685990338164</v>
      </c>
      <c r="O165" s="8" t="n">
        <v>0</v>
      </c>
      <c r="P165" s="8" t="n">
        <v>0</v>
      </c>
      <c r="Q165" s="8" t="n">
        <v>0</v>
      </c>
      <c r="R165" s="8" t="n">
        <v>0</v>
      </c>
      <c r="S165" s="8" t="n">
        <v>0</v>
      </c>
      <c r="T165" s="8" t="n">
        <v>1</v>
      </c>
      <c r="U165" s="8" t="n">
        <v>0</v>
      </c>
      <c r="V165" s="8" t="n">
        <v>0</v>
      </c>
      <c r="W165" s="8" t="n">
        <v>0</v>
      </c>
      <c r="X165" s="8" t="n">
        <v>1</v>
      </c>
      <c r="Y165" s="8" t="n">
        <v>0</v>
      </c>
      <c r="Z165" s="8" t="n">
        <v>0</v>
      </c>
      <c r="AA165" s="8" t="n">
        <v>0</v>
      </c>
      <c r="AB165" s="8" t="n">
        <v>0</v>
      </c>
      <c r="AC165" s="8" t="n">
        <v>0</v>
      </c>
      <c r="AD165" s="8" t="n">
        <v>0</v>
      </c>
    </row>
    <row r="166" customFormat="false" ht="15" hidden="false" customHeight="false" outlineLevel="0" collapsed="false">
      <c r="A166" s="38" t="s">
        <v>1666</v>
      </c>
      <c r="B166" s="8" t="s">
        <v>1353</v>
      </c>
      <c r="C166" s="39" t="n">
        <v>12900</v>
      </c>
      <c r="D166" s="40" t="n">
        <v>45777</v>
      </c>
      <c r="E166" s="8" t="n">
        <v>24</v>
      </c>
      <c r="F166" s="39" t="n">
        <v>20200</v>
      </c>
      <c r="G166" s="39" t="n">
        <v>349</v>
      </c>
      <c r="H166" s="39" t="n">
        <v>29</v>
      </c>
      <c r="I166" s="39" t="n">
        <v>46</v>
      </c>
      <c r="J166" s="39" t="n">
        <v>43</v>
      </c>
      <c r="K166" s="8" t="s">
        <v>1243</v>
      </c>
      <c r="L166" s="41" t="s">
        <v>1667</v>
      </c>
      <c r="M166" s="42" t="n">
        <f aca="false">IFERROR(I166/F166,0)</f>
        <v>0.00227722772277228</v>
      </c>
      <c r="N166" s="42" t="n">
        <f aca="false">IFERROR(J166/F166,0)</f>
        <v>0.00212871287128713</v>
      </c>
      <c r="O166" s="8" t="n">
        <v>1</v>
      </c>
      <c r="P166" s="8" t="n">
        <v>1</v>
      </c>
      <c r="Q166" s="8" t="n">
        <v>0</v>
      </c>
      <c r="R166" s="8" t="n">
        <v>0</v>
      </c>
      <c r="S166" s="8" t="n">
        <v>0</v>
      </c>
      <c r="T166" s="8" t="n">
        <v>0</v>
      </c>
      <c r="U166" s="8" t="n">
        <v>0</v>
      </c>
      <c r="V166" s="8" t="n">
        <v>0</v>
      </c>
      <c r="W166" s="8" t="n">
        <v>0</v>
      </c>
      <c r="X166" s="8" t="n">
        <v>0</v>
      </c>
      <c r="Y166" s="8" t="n">
        <v>1</v>
      </c>
      <c r="Z166" s="8" t="n">
        <v>0</v>
      </c>
      <c r="AA166" s="8" t="n">
        <v>0</v>
      </c>
      <c r="AB166" s="8" t="n">
        <v>0</v>
      </c>
      <c r="AC166" s="8" t="n">
        <v>0</v>
      </c>
      <c r="AD166" s="8" t="n">
        <v>0</v>
      </c>
    </row>
    <row r="167" customFormat="false" ht="15" hidden="false" customHeight="false" outlineLevel="0" collapsed="false">
      <c r="A167" s="38" t="s">
        <v>1668</v>
      </c>
      <c r="B167" s="8" t="s">
        <v>1669</v>
      </c>
      <c r="C167" s="39" t="n">
        <v>13000</v>
      </c>
      <c r="D167" s="40" t="n">
        <v>45996</v>
      </c>
      <c r="E167" s="8" t="n">
        <v>21</v>
      </c>
      <c r="F167" s="39" t="n">
        <v>19500</v>
      </c>
      <c r="G167" s="39" t="n">
        <v>905</v>
      </c>
      <c r="H167" s="39" t="n">
        <v>44</v>
      </c>
      <c r="I167" s="39" t="n">
        <v>57</v>
      </c>
      <c r="J167" s="39" t="n">
        <v>102</v>
      </c>
      <c r="K167" s="8" t="s">
        <v>1240</v>
      </c>
      <c r="L167" s="41" t="s">
        <v>1670</v>
      </c>
      <c r="M167" s="42" t="n">
        <f aca="false">IFERROR(I167/F167,0)</f>
        <v>0.00292307692307692</v>
      </c>
      <c r="N167" s="42" t="n">
        <f aca="false">IFERROR(J167/F167,0)</f>
        <v>0.00523076923076923</v>
      </c>
      <c r="O167" s="8" t="n">
        <v>0</v>
      </c>
      <c r="P167" s="8" t="n">
        <v>0</v>
      </c>
      <c r="Q167" s="8" t="n">
        <v>0</v>
      </c>
      <c r="R167" s="8" t="n">
        <v>0</v>
      </c>
      <c r="S167" s="8" t="n">
        <v>0</v>
      </c>
      <c r="T167" s="8" t="n">
        <v>0</v>
      </c>
      <c r="U167" s="8" t="n">
        <v>0</v>
      </c>
      <c r="V167" s="8" t="n">
        <v>0</v>
      </c>
      <c r="W167" s="8" t="n">
        <v>1</v>
      </c>
      <c r="X167" s="8" t="n">
        <v>1</v>
      </c>
      <c r="Y167" s="8" t="n">
        <v>0</v>
      </c>
      <c r="Z167" s="8" t="n">
        <v>0</v>
      </c>
      <c r="AA167" s="8" t="n">
        <v>0</v>
      </c>
      <c r="AB167" s="8" t="n">
        <v>0</v>
      </c>
      <c r="AC167" s="8" t="n">
        <v>0</v>
      </c>
      <c r="AD167" s="8" t="n">
        <v>0</v>
      </c>
    </row>
    <row r="168" customFormat="false" ht="15" hidden="false" customHeight="false" outlineLevel="0" collapsed="false">
      <c r="A168" s="38" t="s">
        <v>1671</v>
      </c>
      <c r="B168" s="8" t="s">
        <v>1672</v>
      </c>
      <c r="C168" s="39" t="n">
        <v>9764</v>
      </c>
      <c r="D168" s="40" t="n">
        <v>46164</v>
      </c>
      <c r="E168" s="8" t="n">
        <v>59</v>
      </c>
      <c r="F168" s="39" t="n">
        <v>19500</v>
      </c>
      <c r="G168" s="39" t="n">
        <v>659</v>
      </c>
      <c r="H168" s="39" t="n">
        <v>13</v>
      </c>
      <c r="I168" s="39" t="n">
        <v>87</v>
      </c>
      <c r="J168" s="39" t="n">
        <v>111</v>
      </c>
      <c r="K168" s="8" t="s">
        <v>1243</v>
      </c>
      <c r="L168" s="41" t="s">
        <v>1673</v>
      </c>
      <c r="M168" s="42" t="n">
        <f aca="false">IFERROR(I168/F168,0)</f>
        <v>0.00446153846153846</v>
      </c>
      <c r="N168" s="42" t="n">
        <f aca="false">IFERROR(J168/F168,0)</f>
        <v>0.00569230769230769</v>
      </c>
      <c r="O168" s="8" t="n">
        <v>0</v>
      </c>
      <c r="P168" s="8" t="n">
        <v>0</v>
      </c>
      <c r="Q168" s="8" t="n">
        <v>0</v>
      </c>
      <c r="R168" s="8" t="n">
        <v>0</v>
      </c>
      <c r="S168" s="8" t="n">
        <v>0</v>
      </c>
      <c r="T168" s="8" t="n">
        <v>0</v>
      </c>
      <c r="U168" s="8" t="n">
        <v>0</v>
      </c>
      <c r="V168" s="8" t="n">
        <v>0</v>
      </c>
      <c r="W168" s="8" t="n">
        <v>0</v>
      </c>
      <c r="X168" s="8" t="n">
        <v>0</v>
      </c>
      <c r="Y168" s="8" t="n">
        <v>0</v>
      </c>
      <c r="Z168" s="8" t="n">
        <v>0</v>
      </c>
      <c r="AA168" s="8" t="n">
        <v>0</v>
      </c>
      <c r="AB168" s="8" t="n">
        <v>0</v>
      </c>
      <c r="AC168" s="8" t="n">
        <v>0</v>
      </c>
      <c r="AD168" s="8" t="n">
        <v>0</v>
      </c>
    </row>
    <row r="169" customFormat="false" ht="15" hidden="false" customHeight="false" outlineLevel="0" collapsed="false">
      <c r="A169" s="38" t="s">
        <v>1674</v>
      </c>
      <c r="B169" s="8" t="s">
        <v>1562</v>
      </c>
      <c r="C169" s="39" t="n">
        <v>15500</v>
      </c>
      <c r="D169" s="40" t="n">
        <v>45352</v>
      </c>
      <c r="E169" s="8" t="n">
        <v>102</v>
      </c>
      <c r="F169" s="39" t="n">
        <v>18900</v>
      </c>
      <c r="G169" s="39" t="n">
        <v>1531</v>
      </c>
      <c r="H169" s="39" t="n">
        <v>5</v>
      </c>
      <c r="I169" s="39" t="n">
        <v>63</v>
      </c>
      <c r="J169" s="39" t="n">
        <v>11</v>
      </c>
      <c r="K169" s="8" t="s">
        <v>1243</v>
      </c>
      <c r="L169" s="41" t="s">
        <v>1675</v>
      </c>
      <c r="M169" s="42" t="n">
        <f aca="false">IFERROR(I169/F169,0)</f>
        <v>0.00333333333333333</v>
      </c>
      <c r="N169" s="42" t="n">
        <f aca="false">IFERROR(J169/F169,0)</f>
        <v>0.000582010582010582</v>
      </c>
      <c r="O169" s="8" t="n">
        <v>1</v>
      </c>
      <c r="P169" s="8" t="n">
        <v>0</v>
      </c>
      <c r="Q169" s="8" t="n">
        <v>0</v>
      </c>
      <c r="R169" s="8" t="n">
        <v>1</v>
      </c>
      <c r="S169" s="8" t="n">
        <v>0</v>
      </c>
      <c r="T169" s="8" t="n">
        <v>0</v>
      </c>
      <c r="U169" s="8" t="n">
        <v>0</v>
      </c>
      <c r="V169" s="8" t="n">
        <v>0</v>
      </c>
      <c r="W169" s="8" t="n">
        <v>0</v>
      </c>
      <c r="X169" s="8" t="n">
        <v>0</v>
      </c>
      <c r="Y169" s="8" t="n">
        <v>0</v>
      </c>
      <c r="Z169" s="8" t="n">
        <v>0</v>
      </c>
      <c r="AA169" s="8" t="n">
        <v>0</v>
      </c>
      <c r="AB169" s="8" t="n">
        <v>0</v>
      </c>
      <c r="AC169" s="8" t="n">
        <v>0</v>
      </c>
      <c r="AD169" s="8" t="n">
        <v>0</v>
      </c>
    </row>
    <row r="170" customFormat="false" ht="15" hidden="false" customHeight="false" outlineLevel="0" collapsed="false">
      <c r="A170" s="38" t="s">
        <v>1676</v>
      </c>
      <c r="B170" s="8" t="s">
        <v>1677</v>
      </c>
      <c r="C170" s="39" t="n">
        <v>193</v>
      </c>
      <c r="D170" s="40" t="n">
        <v>46136</v>
      </c>
      <c r="E170" s="8" t="n">
        <v>7</v>
      </c>
      <c r="F170" s="39" t="n">
        <v>18700</v>
      </c>
      <c r="G170" s="39" t="n">
        <v>60</v>
      </c>
      <c r="H170" s="39" t="n">
        <v>0</v>
      </c>
      <c r="I170" s="39" t="n">
        <v>150</v>
      </c>
      <c r="J170" s="39" t="n">
        <v>55</v>
      </c>
      <c r="K170" s="8" t="s">
        <v>1240</v>
      </c>
      <c r="L170" s="41" t="s">
        <v>1678</v>
      </c>
      <c r="M170" s="42" t="n">
        <f aca="false">IFERROR(I170/F170,0)</f>
        <v>0.00802139037433155</v>
      </c>
      <c r="N170" s="42" t="n">
        <f aca="false">IFERROR(J170/F170,0)</f>
        <v>0.00294117647058824</v>
      </c>
      <c r="O170" s="8" t="n">
        <v>0</v>
      </c>
      <c r="P170" s="8" t="n">
        <v>0</v>
      </c>
      <c r="Q170" s="8" t="n">
        <v>0</v>
      </c>
      <c r="R170" s="8" t="n">
        <v>0</v>
      </c>
      <c r="S170" s="8" t="n">
        <v>0</v>
      </c>
      <c r="T170" s="8" t="n">
        <v>1</v>
      </c>
      <c r="U170" s="8" t="n">
        <v>0</v>
      </c>
      <c r="V170" s="8" t="n">
        <v>0</v>
      </c>
      <c r="W170" s="8" t="n">
        <v>0</v>
      </c>
      <c r="X170" s="8" t="n">
        <v>1</v>
      </c>
      <c r="Y170" s="8" t="n">
        <v>0</v>
      </c>
      <c r="Z170" s="8" t="n">
        <v>0</v>
      </c>
      <c r="AA170" s="8" t="n">
        <v>0</v>
      </c>
      <c r="AB170" s="8" t="n">
        <v>0</v>
      </c>
      <c r="AC170" s="8" t="n">
        <v>0</v>
      </c>
      <c r="AD170" s="8" t="n">
        <v>0</v>
      </c>
    </row>
    <row r="171" customFormat="false" ht="15" hidden="false" customHeight="false" outlineLevel="0" collapsed="false">
      <c r="A171" s="38" t="s">
        <v>1679</v>
      </c>
      <c r="B171" s="8" t="s">
        <v>1680</v>
      </c>
      <c r="C171" s="39" t="n">
        <v>2607</v>
      </c>
      <c r="D171" s="40" t="n">
        <v>46131</v>
      </c>
      <c r="E171" s="8" t="n">
        <v>28</v>
      </c>
      <c r="F171" s="39" t="n">
        <v>18200</v>
      </c>
      <c r="G171" s="39" t="n">
        <v>145</v>
      </c>
      <c r="H171" s="39" t="n">
        <v>28</v>
      </c>
      <c r="I171" s="39" t="n">
        <v>153</v>
      </c>
      <c r="J171" s="39" t="n">
        <v>94</v>
      </c>
      <c r="K171" s="8" t="s">
        <v>1243</v>
      </c>
      <c r="L171" s="41" t="s">
        <v>1681</v>
      </c>
      <c r="M171" s="42" t="n">
        <f aca="false">IFERROR(I171/F171,0)</f>
        <v>0.00840659340659341</v>
      </c>
      <c r="N171" s="42" t="n">
        <f aca="false">IFERROR(J171/F171,0)</f>
        <v>0.00516483516483517</v>
      </c>
      <c r="O171" s="8" t="n">
        <v>1</v>
      </c>
      <c r="P171" s="8" t="n">
        <v>0</v>
      </c>
      <c r="Q171" s="8" t="n">
        <v>1</v>
      </c>
      <c r="R171" s="8" t="n">
        <v>0</v>
      </c>
      <c r="S171" s="8" t="n">
        <v>1</v>
      </c>
      <c r="T171" s="8" t="n">
        <v>0</v>
      </c>
      <c r="U171" s="8" t="n">
        <v>0</v>
      </c>
      <c r="V171" s="8" t="n">
        <v>0</v>
      </c>
      <c r="W171" s="8" t="n">
        <v>0</v>
      </c>
      <c r="X171" s="8" t="n">
        <v>0</v>
      </c>
      <c r="Y171" s="8" t="n">
        <v>0</v>
      </c>
      <c r="Z171" s="8" t="n">
        <v>0</v>
      </c>
      <c r="AA171" s="8" t="n">
        <v>0</v>
      </c>
      <c r="AB171" s="8" t="n">
        <v>0</v>
      </c>
      <c r="AC171" s="8" t="n">
        <v>0</v>
      </c>
      <c r="AD171" s="8" t="n">
        <v>0</v>
      </c>
    </row>
    <row r="172" customFormat="false" ht="15" hidden="false" customHeight="false" outlineLevel="0" collapsed="false">
      <c r="A172" s="38" t="s">
        <v>1682</v>
      </c>
      <c r="B172" s="8" t="s">
        <v>1683</v>
      </c>
      <c r="C172" s="39" t="n">
        <v>265600</v>
      </c>
      <c r="D172" s="40" t="n">
        <v>46051</v>
      </c>
      <c r="E172" s="8" t="n">
        <v>16</v>
      </c>
      <c r="F172" s="39" t="n">
        <v>18100</v>
      </c>
      <c r="G172" s="39" t="n">
        <v>91</v>
      </c>
      <c r="H172" s="39" t="n">
        <v>6</v>
      </c>
      <c r="I172" s="39" t="n">
        <v>31</v>
      </c>
      <c r="J172" s="39" t="n">
        <v>25</v>
      </c>
      <c r="K172" s="8" t="s">
        <v>1240</v>
      </c>
      <c r="L172" s="41" t="s">
        <v>1684</v>
      </c>
      <c r="M172" s="42" t="n">
        <f aca="false">IFERROR(I172/F172,0)</f>
        <v>0.00171270718232044</v>
      </c>
      <c r="N172" s="42" t="n">
        <f aca="false">IFERROR(J172/F172,0)</f>
        <v>0.00138121546961326</v>
      </c>
      <c r="O172" s="8" t="n">
        <v>0</v>
      </c>
      <c r="P172" s="8" t="n">
        <v>0</v>
      </c>
      <c r="Q172" s="8" t="n">
        <v>0</v>
      </c>
      <c r="R172" s="8" t="n">
        <v>0</v>
      </c>
      <c r="S172" s="8" t="n">
        <v>0</v>
      </c>
      <c r="T172" s="8" t="n">
        <v>1</v>
      </c>
      <c r="U172" s="8" t="n">
        <v>0</v>
      </c>
      <c r="V172" s="8" t="n">
        <v>0</v>
      </c>
      <c r="W172" s="8" t="n">
        <v>0</v>
      </c>
      <c r="X172" s="8" t="n">
        <v>1</v>
      </c>
      <c r="Y172" s="8" t="n">
        <v>0</v>
      </c>
      <c r="Z172" s="8" t="n">
        <v>0</v>
      </c>
      <c r="AA172" s="8" t="n">
        <v>0</v>
      </c>
      <c r="AB172" s="8" t="n">
        <v>0</v>
      </c>
      <c r="AC172" s="8" t="n">
        <v>0</v>
      </c>
      <c r="AD172" s="8" t="n">
        <v>0</v>
      </c>
    </row>
    <row r="173" customFormat="false" ht="15" hidden="false" customHeight="false" outlineLevel="0" collapsed="false">
      <c r="A173" s="38" t="s">
        <v>1685</v>
      </c>
      <c r="B173" s="8" t="s">
        <v>1425</v>
      </c>
      <c r="C173" s="39" t="n">
        <v>20000</v>
      </c>
      <c r="D173" s="40" t="n">
        <v>45174</v>
      </c>
      <c r="E173" s="8" t="n">
        <v>80</v>
      </c>
      <c r="F173" s="39" t="n">
        <v>17800</v>
      </c>
      <c r="G173" s="39" t="n">
        <v>117</v>
      </c>
      <c r="H173" s="39" t="n">
        <v>8</v>
      </c>
      <c r="I173" s="39" t="n">
        <v>172</v>
      </c>
      <c r="J173" s="39" t="n">
        <v>107</v>
      </c>
      <c r="K173" s="8" t="s">
        <v>1243</v>
      </c>
      <c r="L173" s="41" t="s">
        <v>1686</v>
      </c>
      <c r="M173" s="42" t="n">
        <f aca="false">IFERROR(I173/F173,0)</f>
        <v>0.00966292134831461</v>
      </c>
      <c r="N173" s="42" t="n">
        <f aca="false">IFERROR(J173/F173,0)</f>
        <v>0.00601123595505618</v>
      </c>
      <c r="O173" s="8" t="n">
        <v>1</v>
      </c>
      <c r="P173" s="8" t="n">
        <v>0</v>
      </c>
      <c r="Q173" s="8" t="n">
        <v>0</v>
      </c>
      <c r="R173" s="8" t="n">
        <v>1</v>
      </c>
      <c r="S173" s="8" t="n">
        <v>0</v>
      </c>
      <c r="T173" s="8" t="n">
        <v>0</v>
      </c>
      <c r="U173" s="8" t="n">
        <v>0</v>
      </c>
      <c r="V173" s="8" t="n">
        <v>0</v>
      </c>
      <c r="W173" s="8" t="n">
        <v>0</v>
      </c>
      <c r="X173" s="8" t="n">
        <v>0</v>
      </c>
      <c r="Y173" s="8" t="n">
        <v>1</v>
      </c>
      <c r="Z173" s="8" t="n">
        <v>0</v>
      </c>
      <c r="AA173" s="8" t="n">
        <v>0</v>
      </c>
      <c r="AB173" s="8" t="n">
        <v>0</v>
      </c>
      <c r="AC173" s="8" t="n">
        <v>0</v>
      </c>
      <c r="AD173" s="8" t="n">
        <v>0</v>
      </c>
    </row>
    <row r="174" customFormat="false" ht="15" hidden="false" customHeight="false" outlineLevel="0" collapsed="false">
      <c r="A174" s="38" t="s">
        <v>1687</v>
      </c>
      <c r="B174" s="8" t="s">
        <v>1299</v>
      </c>
      <c r="C174" s="39" t="n">
        <v>1093</v>
      </c>
      <c r="D174" s="40" t="n">
        <v>46251</v>
      </c>
      <c r="E174" s="8" t="n">
        <v>28</v>
      </c>
      <c r="F174" s="39" t="n">
        <v>17300</v>
      </c>
      <c r="G174" s="39" t="n">
        <v>222</v>
      </c>
      <c r="H174" s="39" t="n">
        <v>56</v>
      </c>
      <c r="I174" s="39" t="n">
        <v>20</v>
      </c>
      <c r="J174" s="39" t="n">
        <v>19</v>
      </c>
      <c r="K174" s="8" t="s">
        <v>1240</v>
      </c>
      <c r="L174" s="41" t="s">
        <v>1688</v>
      </c>
      <c r="M174" s="42" t="n">
        <f aca="false">IFERROR(I174/F174,0)</f>
        <v>0.00115606936416185</v>
      </c>
      <c r="N174" s="42" t="n">
        <f aca="false">IFERROR(J174/F174,0)</f>
        <v>0.00109826589595376</v>
      </c>
      <c r="O174" s="8" t="n">
        <v>0</v>
      </c>
      <c r="P174" s="8" t="n">
        <v>0</v>
      </c>
      <c r="Q174" s="8" t="n">
        <v>0</v>
      </c>
      <c r="R174" s="8" t="n">
        <v>0</v>
      </c>
      <c r="S174" s="8" t="n">
        <v>0</v>
      </c>
      <c r="T174" s="8" t="n">
        <v>0</v>
      </c>
      <c r="U174" s="8" t="n">
        <v>0</v>
      </c>
      <c r="V174" s="8" t="n">
        <v>0</v>
      </c>
      <c r="W174" s="8" t="n">
        <v>0</v>
      </c>
      <c r="X174" s="8" t="n">
        <v>0</v>
      </c>
      <c r="Y174" s="8" t="n">
        <v>0</v>
      </c>
      <c r="Z174" s="8" t="n">
        <v>0</v>
      </c>
      <c r="AA174" s="8" t="n">
        <v>0</v>
      </c>
      <c r="AB174" s="8" t="n">
        <v>0</v>
      </c>
      <c r="AC174" s="8" t="n">
        <v>0</v>
      </c>
      <c r="AD174" s="8" t="n">
        <v>0</v>
      </c>
    </row>
    <row r="175" customFormat="false" ht="15" hidden="false" customHeight="false" outlineLevel="0" collapsed="false">
      <c r="A175" s="38" t="s">
        <v>1689</v>
      </c>
      <c r="B175" s="8" t="s">
        <v>1690</v>
      </c>
      <c r="C175" s="39" t="n">
        <v>328</v>
      </c>
      <c r="D175" s="40" t="n">
        <v>46313</v>
      </c>
      <c r="E175" s="8" t="n">
        <v>10</v>
      </c>
      <c r="F175" s="39" t="n">
        <v>17300</v>
      </c>
      <c r="G175" s="39" t="n">
        <v>97</v>
      </c>
      <c r="H175" s="39" t="n">
        <v>5</v>
      </c>
      <c r="I175" s="39" t="n">
        <v>6</v>
      </c>
      <c r="J175" s="39" t="n">
        <v>30</v>
      </c>
      <c r="K175" s="8" t="s">
        <v>1243</v>
      </c>
      <c r="L175" s="41" t="s">
        <v>1691</v>
      </c>
      <c r="M175" s="42" t="n">
        <f aca="false">IFERROR(I175/F175,0)</f>
        <v>0.000346820809248555</v>
      </c>
      <c r="N175" s="42" t="n">
        <f aca="false">IFERROR(J175/F175,0)</f>
        <v>0.00173410404624277</v>
      </c>
      <c r="O175" s="8" t="n">
        <v>1</v>
      </c>
      <c r="P175" s="8" t="n">
        <v>0</v>
      </c>
      <c r="Q175" s="8" t="n">
        <v>0</v>
      </c>
      <c r="R175" s="8" t="n">
        <v>1</v>
      </c>
      <c r="S175" s="8" t="n">
        <v>0</v>
      </c>
      <c r="T175" s="8" t="n">
        <v>0</v>
      </c>
      <c r="U175" s="8" t="n">
        <v>0</v>
      </c>
      <c r="V175" s="8" t="n">
        <v>0</v>
      </c>
      <c r="W175" s="8" t="n">
        <v>0</v>
      </c>
      <c r="X175" s="8" t="n">
        <v>0</v>
      </c>
      <c r="Y175" s="8" t="n">
        <v>0</v>
      </c>
      <c r="Z175" s="8" t="n">
        <v>0</v>
      </c>
      <c r="AA175" s="8" t="n">
        <v>0</v>
      </c>
      <c r="AB175" s="8" t="n">
        <v>0</v>
      </c>
      <c r="AC175" s="8" t="n">
        <v>0</v>
      </c>
      <c r="AD175" s="8" t="n">
        <v>0</v>
      </c>
    </row>
    <row r="176" customFormat="false" ht="15" hidden="false" customHeight="false" outlineLevel="0" collapsed="false">
      <c r="A176" s="38" t="s">
        <v>1692</v>
      </c>
      <c r="B176" s="8" t="s">
        <v>1242</v>
      </c>
      <c r="C176" s="39" t="n">
        <v>602300</v>
      </c>
      <c r="D176" s="40" t="n">
        <v>46311</v>
      </c>
      <c r="E176" s="8" t="n">
        <v>17</v>
      </c>
      <c r="F176" s="39" t="n">
        <v>16800</v>
      </c>
      <c r="G176" s="39" t="n">
        <v>269</v>
      </c>
      <c r="H176" s="39" t="n">
        <v>7</v>
      </c>
      <c r="I176" s="39" t="n">
        <v>71</v>
      </c>
      <c r="J176" s="39" t="n">
        <v>85</v>
      </c>
      <c r="K176" s="8" t="s">
        <v>1243</v>
      </c>
      <c r="L176" s="41" t="s">
        <v>1693</v>
      </c>
      <c r="M176" s="42" t="n">
        <f aca="false">IFERROR(I176/F176,0)</f>
        <v>0.00422619047619048</v>
      </c>
      <c r="N176" s="42" t="n">
        <f aca="false">IFERROR(J176/F176,0)</f>
        <v>0.00505952380952381</v>
      </c>
      <c r="O176" s="8" t="n">
        <v>0</v>
      </c>
      <c r="P176" s="8" t="n">
        <v>1</v>
      </c>
      <c r="Q176" s="8" t="n">
        <v>0</v>
      </c>
      <c r="R176" s="8" t="n">
        <v>1</v>
      </c>
      <c r="S176" s="8" t="n">
        <v>0</v>
      </c>
      <c r="T176" s="8" t="n">
        <v>0</v>
      </c>
      <c r="U176" s="8" t="n">
        <v>0</v>
      </c>
      <c r="V176" s="8" t="n">
        <v>0</v>
      </c>
      <c r="W176" s="8" t="n">
        <v>0</v>
      </c>
      <c r="X176" s="8" t="n">
        <v>0</v>
      </c>
      <c r="Y176" s="8" t="n">
        <v>0</v>
      </c>
      <c r="Z176" s="8" t="n">
        <v>0</v>
      </c>
      <c r="AA176" s="8" t="n">
        <v>0</v>
      </c>
      <c r="AB176" s="8" t="n">
        <v>0</v>
      </c>
      <c r="AC176" s="8" t="n">
        <v>0</v>
      </c>
      <c r="AD176" s="8" t="n">
        <v>1</v>
      </c>
    </row>
    <row r="177" customFormat="false" ht="15" hidden="false" customHeight="false" outlineLevel="0" collapsed="false">
      <c r="A177" s="38" t="s">
        <v>1694</v>
      </c>
      <c r="B177" s="8" t="s">
        <v>1695</v>
      </c>
      <c r="C177" s="39" t="n">
        <v>55100</v>
      </c>
      <c r="D177" s="40" t="n">
        <v>45025</v>
      </c>
      <c r="E177" s="8" t="n">
        <v>35</v>
      </c>
      <c r="F177" s="39" t="n">
        <v>16800</v>
      </c>
      <c r="G177" s="39" t="n">
        <v>339</v>
      </c>
      <c r="H177" s="39" t="n">
        <v>6</v>
      </c>
      <c r="I177" s="39" t="n">
        <v>224</v>
      </c>
      <c r="J177" s="39" t="n">
        <v>153</v>
      </c>
      <c r="K177" s="8" t="s">
        <v>1243</v>
      </c>
      <c r="L177" s="41" t="s">
        <v>1696</v>
      </c>
      <c r="M177" s="42" t="n">
        <f aca="false">IFERROR(I177/F177,0)</f>
        <v>0.0133333333333333</v>
      </c>
      <c r="N177" s="42" t="n">
        <f aca="false">IFERROR(J177/F177,0)</f>
        <v>0.00910714285714286</v>
      </c>
      <c r="O177" s="8" t="n">
        <v>1</v>
      </c>
      <c r="P177" s="8" t="n">
        <v>1</v>
      </c>
      <c r="Q177" s="8" t="n">
        <v>0</v>
      </c>
      <c r="R177" s="8" t="n">
        <v>1</v>
      </c>
      <c r="S177" s="8" t="n">
        <v>0</v>
      </c>
      <c r="T177" s="8" t="n">
        <v>0</v>
      </c>
      <c r="U177" s="8" t="n">
        <v>0</v>
      </c>
      <c r="V177" s="8" t="n">
        <v>0</v>
      </c>
      <c r="W177" s="8" t="n">
        <v>0</v>
      </c>
      <c r="X177" s="8" t="n">
        <v>0</v>
      </c>
      <c r="Y177" s="8" t="n">
        <v>0</v>
      </c>
      <c r="Z177" s="8" t="n">
        <v>0</v>
      </c>
      <c r="AA177" s="8" t="n">
        <v>0</v>
      </c>
      <c r="AB177" s="8" t="n">
        <v>0</v>
      </c>
      <c r="AC177" s="8" t="n">
        <v>0</v>
      </c>
      <c r="AD177" s="8" t="n">
        <v>0</v>
      </c>
    </row>
    <row r="178" customFormat="false" ht="15" hidden="false" customHeight="false" outlineLevel="0" collapsed="false">
      <c r="A178" s="38" t="s">
        <v>1697</v>
      </c>
      <c r="B178" s="8" t="s">
        <v>1353</v>
      </c>
      <c r="C178" s="39" t="n">
        <v>12900</v>
      </c>
      <c r="D178" s="40" t="n">
        <v>45714</v>
      </c>
      <c r="E178" s="8" t="n">
        <v>27</v>
      </c>
      <c r="F178" s="39" t="n">
        <v>16700</v>
      </c>
      <c r="G178" s="39" t="n">
        <v>1374</v>
      </c>
      <c r="H178" s="39" t="n">
        <v>10</v>
      </c>
      <c r="I178" s="39" t="n">
        <v>51</v>
      </c>
      <c r="J178" s="39" t="n">
        <v>59</v>
      </c>
      <c r="K178" s="8" t="s">
        <v>1243</v>
      </c>
      <c r="L178" s="41" t="s">
        <v>1698</v>
      </c>
      <c r="M178" s="42" t="n">
        <f aca="false">IFERROR(I178/F178,0)</f>
        <v>0.00305389221556886</v>
      </c>
      <c r="N178" s="42" t="n">
        <f aca="false">IFERROR(J178/F178,0)</f>
        <v>0.00353293413173653</v>
      </c>
      <c r="O178" s="8" t="n">
        <v>0</v>
      </c>
      <c r="P178" s="8" t="n">
        <v>1</v>
      </c>
      <c r="Q178" s="8" t="n">
        <v>0</v>
      </c>
      <c r="R178" s="8" t="n">
        <v>0</v>
      </c>
      <c r="S178" s="8" t="n">
        <v>0</v>
      </c>
      <c r="T178" s="8" t="n">
        <v>0</v>
      </c>
      <c r="U178" s="8" t="n">
        <v>0</v>
      </c>
      <c r="V178" s="8" t="n">
        <v>0</v>
      </c>
      <c r="W178" s="8" t="n">
        <v>0</v>
      </c>
      <c r="X178" s="8" t="n">
        <v>0</v>
      </c>
      <c r="Y178" s="8" t="n">
        <v>1</v>
      </c>
      <c r="Z178" s="8" t="n">
        <v>0</v>
      </c>
      <c r="AA178" s="8" t="n">
        <v>0</v>
      </c>
      <c r="AB178" s="8" t="n">
        <v>0</v>
      </c>
      <c r="AC178" s="8" t="n">
        <v>0</v>
      </c>
      <c r="AD178" s="8" t="n">
        <v>0</v>
      </c>
    </row>
    <row r="179" customFormat="false" ht="15" hidden="false" customHeight="false" outlineLevel="0" collapsed="false">
      <c r="A179" s="38" t="s">
        <v>1699</v>
      </c>
      <c r="B179" s="8" t="s">
        <v>1700</v>
      </c>
      <c r="C179" s="39" t="n">
        <v>10200</v>
      </c>
      <c r="D179" s="40" t="n">
        <v>45212</v>
      </c>
      <c r="E179" s="8" t="n">
        <v>6</v>
      </c>
      <c r="F179" s="39" t="n">
        <v>16100</v>
      </c>
      <c r="G179" s="39" t="n">
        <v>173</v>
      </c>
      <c r="H179" s="39" t="n">
        <v>16</v>
      </c>
      <c r="I179" s="39" t="n">
        <v>58</v>
      </c>
      <c r="J179" s="39" t="n">
        <v>28</v>
      </c>
      <c r="K179" s="8" t="s">
        <v>1240</v>
      </c>
      <c r="L179" s="41" t="s">
        <v>1701</v>
      </c>
      <c r="M179" s="42" t="n">
        <f aca="false">IFERROR(I179/F179,0)</f>
        <v>0.00360248447204969</v>
      </c>
      <c r="N179" s="42" t="n">
        <f aca="false">IFERROR(J179/F179,0)</f>
        <v>0.00173913043478261</v>
      </c>
      <c r="O179" s="8" t="n">
        <v>0</v>
      </c>
      <c r="P179" s="8" t="n">
        <v>0</v>
      </c>
      <c r="Q179" s="8" t="n">
        <v>0</v>
      </c>
      <c r="R179" s="8" t="n">
        <v>0</v>
      </c>
      <c r="S179" s="8" t="n">
        <v>0</v>
      </c>
      <c r="T179" s="8" t="n">
        <v>0</v>
      </c>
      <c r="U179" s="8" t="n">
        <v>0</v>
      </c>
      <c r="V179" s="8" t="n">
        <v>0</v>
      </c>
      <c r="W179" s="8" t="n">
        <v>0</v>
      </c>
      <c r="X179" s="8" t="n">
        <v>0</v>
      </c>
      <c r="Y179" s="8" t="n">
        <v>0</v>
      </c>
      <c r="Z179" s="8" t="n">
        <v>0</v>
      </c>
      <c r="AA179" s="8" t="n">
        <v>0</v>
      </c>
      <c r="AB179" s="8" t="n">
        <v>0</v>
      </c>
      <c r="AC179" s="8" t="n">
        <v>0</v>
      </c>
      <c r="AD179" s="8" t="n">
        <v>0</v>
      </c>
    </row>
    <row r="180" customFormat="false" ht="15" hidden="false" customHeight="false" outlineLevel="0" collapsed="false">
      <c r="A180" s="38" t="s">
        <v>1702</v>
      </c>
      <c r="B180" s="8" t="s">
        <v>1703</v>
      </c>
      <c r="C180" s="39" t="n">
        <v>22300</v>
      </c>
      <c r="D180" s="40" t="n">
        <v>46284</v>
      </c>
      <c r="E180" s="8" t="n">
        <v>104</v>
      </c>
      <c r="F180" s="39" t="n">
        <v>15900</v>
      </c>
      <c r="G180" s="39" t="n">
        <v>374</v>
      </c>
      <c r="H180" s="39" t="n">
        <v>9</v>
      </c>
      <c r="I180" s="39" t="n">
        <v>126</v>
      </c>
      <c r="J180" s="39" t="n">
        <v>213</v>
      </c>
      <c r="K180" s="8" t="s">
        <v>1240</v>
      </c>
      <c r="L180" s="41" t="s">
        <v>1704</v>
      </c>
      <c r="M180" s="42" t="n">
        <f aca="false">IFERROR(I180/F180,0)</f>
        <v>0.00792452830188679</v>
      </c>
      <c r="N180" s="42" t="n">
        <f aca="false">IFERROR(J180/F180,0)</f>
        <v>0.0133962264150943</v>
      </c>
      <c r="O180" s="8" t="n">
        <v>0</v>
      </c>
      <c r="P180" s="8" t="n">
        <v>0</v>
      </c>
      <c r="Q180" s="8" t="n">
        <v>1</v>
      </c>
      <c r="R180" s="8" t="n">
        <v>0</v>
      </c>
      <c r="S180" s="8" t="n">
        <v>0</v>
      </c>
      <c r="T180" s="8" t="n">
        <v>1</v>
      </c>
      <c r="U180" s="8" t="n">
        <v>0</v>
      </c>
      <c r="V180" s="8" t="n">
        <v>0</v>
      </c>
      <c r="W180" s="8" t="n">
        <v>1</v>
      </c>
      <c r="X180" s="8" t="n">
        <v>1</v>
      </c>
      <c r="Y180" s="8" t="n">
        <v>0</v>
      </c>
      <c r="Z180" s="8" t="n">
        <v>0</v>
      </c>
      <c r="AA180" s="8" t="n">
        <v>0</v>
      </c>
      <c r="AB180" s="8" t="n">
        <v>0</v>
      </c>
      <c r="AC180" s="8" t="n">
        <v>0</v>
      </c>
      <c r="AD180" s="8" t="n">
        <v>1</v>
      </c>
    </row>
    <row r="181" customFormat="false" ht="15" hidden="false" customHeight="false" outlineLevel="0" collapsed="false">
      <c r="A181" s="38" t="s">
        <v>1705</v>
      </c>
      <c r="B181" s="8" t="s">
        <v>1706</v>
      </c>
      <c r="C181" s="39" t="n">
        <v>46800</v>
      </c>
      <c r="D181" s="40" t="n">
        <v>46269</v>
      </c>
      <c r="E181" s="8" t="n">
        <v>8</v>
      </c>
      <c r="F181" s="39" t="n">
        <v>15800</v>
      </c>
      <c r="G181" s="39" t="n">
        <v>316</v>
      </c>
      <c r="H181" s="39" t="n">
        <v>2</v>
      </c>
      <c r="I181" s="39" t="n">
        <v>26</v>
      </c>
      <c r="J181" s="39" t="n">
        <v>42</v>
      </c>
      <c r="K181" s="8" t="s">
        <v>1240</v>
      </c>
      <c r="L181" s="41" t="s">
        <v>1707</v>
      </c>
      <c r="M181" s="42" t="n">
        <f aca="false">IFERROR(I181/F181,0)</f>
        <v>0.00164556962025316</v>
      </c>
      <c r="N181" s="42" t="n">
        <f aca="false">IFERROR(J181/F181,0)</f>
        <v>0.00265822784810127</v>
      </c>
      <c r="O181" s="8" t="n">
        <v>0</v>
      </c>
      <c r="P181" s="8" t="n">
        <v>0</v>
      </c>
      <c r="Q181" s="8" t="n">
        <v>0</v>
      </c>
      <c r="R181" s="8" t="n">
        <v>0</v>
      </c>
      <c r="S181" s="8" t="n">
        <v>0</v>
      </c>
      <c r="T181" s="8" t="n">
        <v>0</v>
      </c>
      <c r="U181" s="8" t="n">
        <v>0</v>
      </c>
      <c r="V181" s="8" t="n">
        <v>1</v>
      </c>
      <c r="W181" s="8" t="n">
        <v>0</v>
      </c>
      <c r="X181" s="8" t="n">
        <v>0</v>
      </c>
      <c r="Y181" s="8" t="n">
        <v>0</v>
      </c>
      <c r="Z181" s="8" t="n">
        <v>0</v>
      </c>
      <c r="AA181" s="8" t="n">
        <v>0</v>
      </c>
      <c r="AB181" s="8" t="n">
        <v>0</v>
      </c>
      <c r="AC181" s="8" t="n">
        <v>0</v>
      </c>
      <c r="AD181" s="8" t="n">
        <v>0</v>
      </c>
    </row>
    <row r="182" customFormat="false" ht="15" hidden="false" customHeight="false" outlineLevel="0" collapsed="false">
      <c r="A182" s="38" t="s">
        <v>1708</v>
      </c>
      <c r="B182" s="8" t="s">
        <v>1260</v>
      </c>
      <c r="C182" s="39" t="n">
        <v>18100</v>
      </c>
      <c r="D182" s="40" t="n">
        <v>45557</v>
      </c>
      <c r="E182" s="8" t="n">
        <v>64</v>
      </c>
      <c r="F182" s="39" t="n">
        <v>15600</v>
      </c>
      <c r="G182" s="39" t="n">
        <v>207</v>
      </c>
      <c r="H182" s="39" t="n">
        <v>16</v>
      </c>
      <c r="I182" s="39" t="n">
        <v>140</v>
      </c>
      <c r="J182" s="39" t="n">
        <v>31</v>
      </c>
      <c r="K182" s="8" t="s">
        <v>1243</v>
      </c>
      <c r="L182" s="41" t="s">
        <v>1709</v>
      </c>
      <c r="M182" s="42" t="n">
        <f aca="false">IFERROR(I182/F182,0)</f>
        <v>0.00897435897435897</v>
      </c>
      <c r="N182" s="42" t="n">
        <f aca="false">IFERROR(J182/F182,0)</f>
        <v>0.00198717948717949</v>
      </c>
      <c r="O182" s="8" t="n">
        <v>1</v>
      </c>
      <c r="P182" s="8" t="n">
        <v>1</v>
      </c>
      <c r="Q182" s="8" t="n">
        <v>0</v>
      </c>
      <c r="R182" s="8" t="n">
        <v>1</v>
      </c>
      <c r="S182" s="8" t="n">
        <v>0</v>
      </c>
      <c r="T182" s="8" t="n">
        <v>0</v>
      </c>
      <c r="U182" s="8" t="n">
        <v>0</v>
      </c>
      <c r="V182" s="8" t="n">
        <v>0</v>
      </c>
      <c r="W182" s="8" t="n">
        <v>0</v>
      </c>
      <c r="X182" s="8" t="n">
        <v>0</v>
      </c>
      <c r="Y182" s="8" t="n">
        <v>0</v>
      </c>
      <c r="Z182" s="8" t="n">
        <v>0</v>
      </c>
      <c r="AA182" s="8" t="n">
        <v>0</v>
      </c>
      <c r="AB182" s="8" t="n">
        <v>0</v>
      </c>
      <c r="AC182" s="8" t="n">
        <v>0</v>
      </c>
      <c r="AD182" s="8" t="n">
        <v>0</v>
      </c>
    </row>
    <row r="183" customFormat="false" ht="15" hidden="false" customHeight="false" outlineLevel="0" collapsed="false">
      <c r="A183" s="38" t="s">
        <v>1710</v>
      </c>
      <c r="B183" s="8" t="s">
        <v>1505</v>
      </c>
      <c r="C183" s="39" t="n">
        <v>30100</v>
      </c>
      <c r="D183" s="40" t="n">
        <v>45911</v>
      </c>
      <c r="E183" s="8" t="n">
        <v>95</v>
      </c>
      <c r="F183" s="39" t="n">
        <v>15200</v>
      </c>
      <c r="G183" s="39" t="n">
        <v>272</v>
      </c>
      <c r="H183" s="39" t="n">
        <v>13</v>
      </c>
      <c r="I183" s="39" t="n">
        <v>114</v>
      </c>
      <c r="J183" s="39" t="n">
        <v>61</v>
      </c>
      <c r="K183" s="8" t="s">
        <v>1243</v>
      </c>
      <c r="L183" s="41" t="s">
        <v>1711</v>
      </c>
      <c r="M183" s="42" t="n">
        <f aca="false">IFERROR(I183/F183,0)</f>
        <v>0.0075</v>
      </c>
      <c r="N183" s="42" t="n">
        <f aca="false">IFERROR(J183/F183,0)</f>
        <v>0.00401315789473684</v>
      </c>
      <c r="O183" s="8" t="n">
        <v>1</v>
      </c>
      <c r="P183" s="8" t="n">
        <v>0</v>
      </c>
      <c r="Q183" s="8" t="n">
        <v>1</v>
      </c>
      <c r="R183" s="8" t="n">
        <v>0</v>
      </c>
      <c r="S183" s="8" t="n">
        <v>0</v>
      </c>
      <c r="T183" s="8" t="n">
        <v>0</v>
      </c>
      <c r="U183" s="8" t="n">
        <v>0</v>
      </c>
      <c r="V183" s="8" t="n">
        <v>0</v>
      </c>
      <c r="W183" s="8" t="n">
        <v>0</v>
      </c>
      <c r="X183" s="8" t="n">
        <v>0</v>
      </c>
      <c r="Y183" s="8" t="n">
        <v>0</v>
      </c>
      <c r="Z183" s="8" t="n">
        <v>0</v>
      </c>
      <c r="AA183" s="8" t="n">
        <v>0</v>
      </c>
      <c r="AB183" s="8" t="n">
        <v>1</v>
      </c>
      <c r="AC183" s="8" t="n">
        <v>0</v>
      </c>
      <c r="AD183" s="8" t="n">
        <v>0</v>
      </c>
    </row>
    <row r="184" customFormat="false" ht="15" hidden="false" customHeight="false" outlineLevel="0" collapsed="false">
      <c r="A184" s="38" t="s">
        <v>1712</v>
      </c>
      <c r="B184" s="8" t="s">
        <v>1713</v>
      </c>
      <c r="C184" s="39" t="n">
        <v>200500</v>
      </c>
      <c r="D184" s="40" t="n">
        <v>46310</v>
      </c>
      <c r="E184" s="8" t="n">
        <v>61</v>
      </c>
      <c r="F184" s="39" t="n">
        <v>15000</v>
      </c>
      <c r="G184" s="39" t="n">
        <v>699</v>
      </c>
      <c r="H184" s="39" t="n">
        <v>25</v>
      </c>
      <c r="I184" s="39" t="n">
        <v>36</v>
      </c>
      <c r="J184" s="39" t="n">
        <v>40</v>
      </c>
      <c r="K184" s="8" t="s">
        <v>1240</v>
      </c>
      <c r="L184" s="41" t="s">
        <v>1714</v>
      </c>
      <c r="M184" s="42" t="n">
        <f aca="false">IFERROR(I184/F184,0)</f>
        <v>0.0024</v>
      </c>
      <c r="N184" s="42" t="n">
        <f aca="false">IFERROR(J184/F184,0)</f>
        <v>0.00266666666666667</v>
      </c>
      <c r="O184" s="8" t="n">
        <v>1</v>
      </c>
      <c r="P184" s="8" t="n">
        <v>1</v>
      </c>
      <c r="Q184" s="8" t="n">
        <v>0</v>
      </c>
      <c r="R184" s="8" t="n">
        <v>1</v>
      </c>
      <c r="S184" s="8" t="n">
        <v>0</v>
      </c>
      <c r="T184" s="8" t="n">
        <v>0</v>
      </c>
      <c r="U184" s="8" t="n">
        <v>0</v>
      </c>
      <c r="V184" s="8" t="n">
        <v>0</v>
      </c>
      <c r="W184" s="8" t="n">
        <v>0</v>
      </c>
      <c r="X184" s="8" t="n">
        <v>0</v>
      </c>
      <c r="Y184" s="8" t="n">
        <v>0</v>
      </c>
      <c r="Z184" s="8" t="n">
        <v>0</v>
      </c>
      <c r="AA184" s="8" t="n">
        <v>0</v>
      </c>
      <c r="AB184" s="8" t="n">
        <v>0</v>
      </c>
      <c r="AC184" s="8" t="n">
        <v>0</v>
      </c>
      <c r="AD184" s="8" t="n">
        <v>0</v>
      </c>
    </row>
    <row r="185" customFormat="false" ht="15" hidden="false" customHeight="false" outlineLevel="0" collapsed="false">
      <c r="A185" s="38" t="s">
        <v>1715</v>
      </c>
      <c r="B185" s="8" t="s">
        <v>1716</v>
      </c>
      <c r="C185" s="39" t="n">
        <v>39700</v>
      </c>
      <c r="D185" s="40" t="n">
        <v>46282</v>
      </c>
      <c r="E185" s="8" t="n">
        <v>14</v>
      </c>
      <c r="F185" s="39" t="n">
        <v>14900</v>
      </c>
      <c r="G185" s="39" t="n">
        <v>261</v>
      </c>
      <c r="H185" s="39" t="n">
        <v>3</v>
      </c>
      <c r="I185" s="39" t="n">
        <v>50</v>
      </c>
      <c r="J185" s="39" t="n">
        <v>62</v>
      </c>
      <c r="K185" s="8" t="s">
        <v>1240</v>
      </c>
      <c r="L185" s="41" t="s">
        <v>1717</v>
      </c>
      <c r="M185" s="42" t="n">
        <f aca="false">IFERROR(I185/F185,0)</f>
        <v>0.00335570469798658</v>
      </c>
      <c r="N185" s="42" t="n">
        <f aca="false">IFERROR(J185/F185,0)</f>
        <v>0.00416107382550336</v>
      </c>
      <c r="O185" s="8" t="n">
        <v>0</v>
      </c>
      <c r="P185" s="8" t="n">
        <v>0</v>
      </c>
      <c r="Q185" s="8" t="n">
        <v>0</v>
      </c>
      <c r="R185" s="8" t="n">
        <v>0</v>
      </c>
      <c r="S185" s="8" t="n">
        <v>0</v>
      </c>
      <c r="T185" s="8" t="n">
        <v>1</v>
      </c>
      <c r="U185" s="8" t="n">
        <v>0</v>
      </c>
      <c r="V185" s="8" t="n">
        <v>0</v>
      </c>
      <c r="W185" s="8" t="n">
        <v>0</v>
      </c>
      <c r="X185" s="8" t="n">
        <v>1</v>
      </c>
      <c r="Y185" s="8" t="n">
        <v>0</v>
      </c>
      <c r="Z185" s="8" t="n">
        <v>0</v>
      </c>
      <c r="AA185" s="8" t="n">
        <v>0</v>
      </c>
      <c r="AB185" s="8" t="n">
        <v>0</v>
      </c>
      <c r="AC185" s="8" t="n">
        <v>0</v>
      </c>
      <c r="AD185" s="8" t="n">
        <v>0</v>
      </c>
    </row>
    <row r="186" customFormat="false" ht="15" hidden="false" customHeight="false" outlineLevel="0" collapsed="false">
      <c r="A186" s="38" t="s">
        <v>1718</v>
      </c>
      <c r="B186" s="8" t="s">
        <v>1525</v>
      </c>
      <c r="C186" s="39" t="n">
        <v>6801</v>
      </c>
      <c r="D186" s="40" t="n">
        <v>46114</v>
      </c>
      <c r="E186" s="8" t="n">
        <v>32</v>
      </c>
      <c r="F186" s="39" t="n">
        <v>14800</v>
      </c>
      <c r="G186" s="39" t="n">
        <v>788</v>
      </c>
      <c r="H186" s="39" t="n">
        <v>5</v>
      </c>
      <c r="I186" s="39" t="n">
        <v>101</v>
      </c>
      <c r="J186" s="39" t="n">
        <v>62</v>
      </c>
      <c r="K186" s="8" t="s">
        <v>1243</v>
      </c>
      <c r="L186" s="41" t="s">
        <v>1719</v>
      </c>
      <c r="M186" s="42" t="n">
        <f aca="false">IFERROR(I186/F186,0)</f>
        <v>0.00682432432432432</v>
      </c>
      <c r="N186" s="42" t="n">
        <f aca="false">IFERROR(J186/F186,0)</f>
        <v>0.00418918918918919</v>
      </c>
      <c r="O186" s="8" t="n">
        <v>1</v>
      </c>
      <c r="P186" s="8" t="n">
        <v>0</v>
      </c>
      <c r="Q186" s="8" t="n">
        <v>0</v>
      </c>
      <c r="R186" s="8" t="n">
        <v>1</v>
      </c>
      <c r="S186" s="8" t="n">
        <v>0</v>
      </c>
      <c r="T186" s="8" t="n">
        <v>0</v>
      </c>
      <c r="U186" s="8" t="n">
        <v>0</v>
      </c>
      <c r="V186" s="8" t="n">
        <v>0</v>
      </c>
      <c r="W186" s="8" t="n">
        <v>0</v>
      </c>
      <c r="X186" s="8" t="n">
        <v>0</v>
      </c>
      <c r="Y186" s="8" t="n">
        <v>0</v>
      </c>
      <c r="Z186" s="8" t="n">
        <v>0</v>
      </c>
      <c r="AA186" s="8" t="n">
        <v>0</v>
      </c>
      <c r="AB186" s="8" t="n">
        <v>0</v>
      </c>
      <c r="AC186" s="8" t="n">
        <v>0</v>
      </c>
      <c r="AD186" s="8" t="n">
        <v>0</v>
      </c>
    </row>
    <row r="187" customFormat="false" ht="15" hidden="false" customHeight="false" outlineLevel="0" collapsed="false">
      <c r="A187" s="38" t="s">
        <v>1720</v>
      </c>
      <c r="B187" s="8" t="s">
        <v>1721</v>
      </c>
      <c r="C187" s="39" t="n">
        <v>1023</v>
      </c>
      <c r="D187" s="40" t="n">
        <v>46233</v>
      </c>
      <c r="E187" s="8" t="n">
        <v>16</v>
      </c>
      <c r="F187" s="39" t="n">
        <v>14700</v>
      </c>
      <c r="G187" s="39" t="n">
        <v>232</v>
      </c>
      <c r="H187" s="39" t="n">
        <v>1</v>
      </c>
      <c r="I187" s="39" t="n">
        <v>66</v>
      </c>
      <c r="J187" s="39" t="n">
        <v>60</v>
      </c>
      <c r="K187" s="8" t="s">
        <v>1240</v>
      </c>
      <c r="L187" s="41" t="s">
        <v>1722</v>
      </c>
      <c r="M187" s="42" t="n">
        <f aca="false">IFERROR(I187/F187,0)</f>
        <v>0.00448979591836735</v>
      </c>
      <c r="N187" s="42" t="n">
        <f aca="false">IFERROR(J187/F187,0)</f>
        <v>0.00408163265306123</v>
      </c>
      <c r="O187" s="8" t="n">
        <v>0</v>
      </c>
      <c r="P187" s="8" t="n">
        <v>0</v>
      </c>
      <c r="Q187" s="8" t="n">
        <v>0</v>
      </c>
      <c r="R187" s="8" t="n">
        <v>0</v>
      </c>
      <c r="S187" s="8" t="n">
        <v>0</v>
      </c>
      <c r="T187" s="8" t="n">
        <v>0</v>
      </c>
      <c r="U187" s="8" t="n">
        <v>0</v>
      </c>
      <c r="V187" s="8" t="n">
        <v>1</v>
      </c>
      <c r="W187" s="8" t="n">
        <v>0</v>
      </c>
      <c r="X187" s="8" t="n">
        <v>0</v>
      </c>
      <c r="Y187" s="8" t="n">
        <v>0</v>
      </c>
      <c r="Z187" s="8" t="n">
        <v>0</v>
      </c>
      <c r="AA187" s="8" t="n">
        <v>0</v>
      </c>
      <c r="AB187" s="8" t="n">
        <v>0</v>
      </c>
      <c r="AC187" s="8" t="n">
        <v>0</v>
      </c>
      <c r="AD187" s="8" t="n">
        <v>0</v>
      </c>
    </row>
    <row r="188" customFormat="false" ht="15" hidden="false" customHeight="false" outlineLevel="0" collapsed="false">
      <c r="A188" s="38" t="s">
        <v>1723</v>
      </c>
      <c r="B188" s="8" t="s">
        <v>1724</v>
      </c>
      <c r="C188" s="39" t="n">
        <v>329</v>
      </c>
      <c r="D188" s="40" t="n">
        <v>45985</v>
      </c>
      <c r="E188" s="8" t="n">
        <v>27</v>
      </c>
      <c r="F188" s="39" t="n">
        <v>14700</v>
      </c>
      <c r="G188" s="39" t="n">
        <v>184</v>
      </c>
      <c r="H188" s="39" t="n">
        <v>20</v>
      </c>
      <c r="I188" s="39" t="n">
        <v>16</v>
      </c>
      <c r="J188" s="39" t="n">
        <v>11</v>
      </c>
      <c r="K188" s="8" t="s">
        <v>1240</v>
      </c>
      <c r="L188" s="41" t="s">
        <v>1725</v>
      </c>
      <c r="M188" s="42" t="n">
        <f aca="false">IFERROR(I188/F188,0)</f>
        <v>0.00108843537414966</v>
      </c>
      <c r="N188" s="42" t="n">
        <f aca="false">IFERROR(J188/F188,0)</f>
        <v>0.000748299319727891</v>
      </c>
      <c r="O188" s="8" t="n">
        <v>1</v>
      </c>
      <c r="P188" s="8" t="n">
        <v>1</v>
      </c>
      <c r="Q188" s="8" t="n">
        <v>0</v>
      </c>
      <c r="R188" s="8" t="n">
        <v>0</v>
      </c>
      <c r="S188" s="8" t="n">
        <v>0</v>
      </c>
      <c r="T188" s="8" t="n">
        <v>0</v>
      </c>
      <c r="U188" s="8" t="n">
        <v>0</v>
      </c>
      <c r="V188" s="8" t="n">
        <v>0</v>
      </c>
      <c r="W188" s="8" t="n">
        <v>1</v>
      </c>
      <c r="X188" s="8" t="n">
        <v>0</v>
      </c>
      <c r="Y188" s="8" t="n">
        <v>0</v>
      </c>
      <c r="Z188" s="8" t="n">
        <v>0</v>
      </c>
      <c r="AA188" s="8" t="n">
        <v>0</v>
      </c>
      <c r="AB188" s="8" t="n">
        <v>0</v>
      </c>
      <c r="AC188" s="8" t="n">
        <v>0</v>
      </c>
      <c r="AD188" s="8" t="n">
        <v>0</v>
      </c>
    </row>
    <row r="189" customFormat="false" ht="15" hidden="false" customHeight="false" outlineLevel="0" collapsed="false">
      <c r="A189" s="38" t="s">
        <v>1726</v>
      </c>
      <c r="B189" s="8" t="s">
        <v>1727</v>
      </c>
      <c r="C189" s="39" t="n">
        <v>2665</v>
      </c>
      <c r="D189" s="40" t="n">
        <v>45921</v>
      </c>
      <c r="E189" s="8" t="n">
        <v>21</v>
      </c>
      <c r="F189" s="39" t="n">
        <v>14500</v>
      </c>
      <c r="G189" s="39" t="n">
        <v>421</v>
      </c>
      <c r="H189" s="39" t="n">
        <v>6</v>
      </c>
      <c r="I189" s="39" t="n">
        <v>32</v>
      </c>
      <c r="J189" s="39" t="n">
        <v>47</v>
      </c>
      <c r="K189" s="8" t="s">
        <v>1240</v>
      </c>
      <c r="L189" s="41" t="s">
        <v>1728</v>
      </c>
      <c r="M189" s="42" t="n">
        <f aca="false">IFERROR(I189/F189,0)</f>
        <v>0.00220689655172414</v>
      </c>
      <c r="N189" s="42" t="n">
        <f aca="false">IFERROR(J189/F189,0)</f>
        <v>0.00324137931034483</v>
      </c>
      <c r="O189" s="8" t="n">
        <v>0</v>
      </c>
      <c r="P189" s="8" t="n">
        <v>0</v>
      </c>
      <c r="Q189" s="8" t="n">
        <v>0</v>
      </c>
      <c r="R189" s="8" t="n">
        <v>0</v>
      </c>
      <c r="S189" s="8" t="n">
        <v>0</v>
      </c>
      <c r="T189" s="8" t="n">
        <v>0</v>
      </c>
      <c r="U189" s="8" t="n">
        <v>0</v>
      </c>
      <c r="V189" s="8" t="n">
        <v>0</v>
      </c>
      <c r="W189" s="8" t="n">
        <v>0</v>
      </c>
      <c r="X189" s="8" t="n">
        <v>0</v>
      </c>
      <c r="Y189" s="8" t="n">
        <v>0</v>
      </c>
      <c r="Z189" s="8" t="n">
        <v>0</v>
      </c>
      <c r="AA189" s="8" t="n">
        <v>0</v>
      </c>
      <c r="AB189" s="8" t="n">
        <v>0</v>
      </c>
      <c r="AC189" s="8" t="n">
        <v>0</v>
      </c>
      <c r="AD189" s="8" t="n">
        <v>0</v>
      </c>
    </row>
    <row r="190" customFormat="false" ht="15" hidden="false" customHeight="false" outlineLevel="0" collapsed="false">
      <c r="A190" s="38" t="s">
        <v>1729</v>
      </c>
      <c r="B190" s="8" t="s">
        <v>1695</v>
      </c>
      <c r="C190" s="39" t="n">
        <v>55100</v>
      </c>
      <c r="D190" s="40" t="n">
        <v>45026</v>
      </c>
      <c r="E190" s="8" t="n">
        <v>49</v>
      </c>
      <c r="F190" s="39" t="n">
        <v>14400</v>
      </c>
      <c r="G190" s="39" t="n">
        <v>206</v>
      </c>
      <c r="H190" s="39" t="n">
        <v>4</v>
      </c>
      <c r="I190" s="39" t="n">
        <v>42</v>
      </c>
      <c r="J190" s="39" t="n">
        <v>34</v>
      </c>
      <c r="K190" s="8" t="s">
        <v>1243</v>
      </c>
      <c r="L190" s="41" t="s">
        <v>1730</v>
      </c>
      <c r="M190" s="42" t="n">
        <f aca="false">IFERROR(I190/F190,0)</f>
        <v>0.00291666666666667</v>
      </c>
      <c r="N190" s="42" t="n">
        <f aca="false">IFERROR(J190/F190,0)</f>
        <v>0.00236111111111111</v>
      </c>
      <c r="O190" s="8" t="n">
        <v>1</v>
      </c>
      <c r="P190" s="8" t="n">
        <v>1</v>
      </c>
      <c r="Q190" s="8" t="n">
        <v>0</v>
      </c>
      <c r="R190" s="8" t="n">
        <v>1</v>
      </c>
      <c r="S190" s="8" t="n">
        <v>0</v>
      </c>
      <c r="T190" s="8" t="n">
        <v>0</v>
      </c>
      <c r="U190" s="8" t="n">
        <v>0</v>
      </c>
      <c r="V190" s="8" t="n">
        <v>0</v>
      </c>
      <c r="W190" s="8" t="n">
        <v>0</v>
      </c>
      <c r="X190" s="8" t="n">
        <v>0</v>
      </c>
      <c r="Y190" s="8" t="n">
        <v>0</v>
      </c>
      <c r="Z190" s="8" t="n">
        <v>0</v>
      </c>
      <c r="AA190" s="8" t="n">
        <v>0</v>
      </c>
      <c r="AB190" s="8" t="n">
        <v>0</v>
      </c>
      <c r="AC190" s="8" t="n">
        <v>0</v>
      </c>
      <c r="AD190" s="8" t="n">
        <v>0</v>
      </c>
    </row>
    <row r="191" customFormat="false" ht="15" hidden="false" customHeight="false" outlineLevel="0" collapsed="false">
      <c r="A191" s="38" t="s">
        <v>1731</v>
      </c>
      <c r="B191" s="8" t="s">
        <v>1732</v>
      </c>
      <c r="C191" s="39" t="n">
        <v>5165</v>
      </c>
      <c r="D191" s="40" t="n">
        <v>45380</v>
      </c>
      <c r="E191" s="8" t="n">
        <v>68</v>
      </c>
      <c r="F191" s="39" t="n">
        <v>14300</v>
      </c>
      <c r="G191" s="39" t="n">
        <v>286</v>
      </c>
      <c r="H191" s="39" t="n">
        <v>7</v>
      </c>
      <c r="I191" s="39" t="n">
        <v>66</v>
      </c>
      <c r="J191" s="39" t="n">
        <v>60</v>
      </c>
      <c r="K191" s="8" t="s">
        <v>1243</v>
      </c>
      <c r="L191" s="41" t="s">
        <v>1733</v>
      </c>
      <c r="M191" s="42" t="n">
        <f aca="false">IFERROR(I191/F191,0)</f>
        <v>0.00461538461538462</v>
      </c>
      <c r="N191" s="42" t="n">
        <f aca="false">IFERROR(J191/F191,0)</f>
        <v>0.0041958041958042</v>
      </c>
      <c r="O191" s="8" t="n">
        <v>0</v>
      </c>
      <c r="P191" s="8" t="n">
        <v>1</v>
      </c>
      <c r="Q191" s="8" t="n">
        <v>0</v>
      </c>
      <c r="R191" s="8" t="n">
        <v>0</v>
      </c>
      <c r="S191" s="8" t="n">
        <v>0</v>
      </c>
      <c r="T191" s="8" t="n">
        <v>0</v>
      </c>
      <c r="U191" s="8" t="n">
        <v>0</v>
      </c>
      <c r="V191" s="8" t="n">
        <v>0</v>
      </c>
      <c r="W191" s="8" t="n">
        <v>1</v>
      </c>
      <c r="X191" s="8" t="n">
        <v>1</v>
      </c>
      <c r="Y191" s="8" t="n">
        <v>0</v>
      </c>
      <c r="Z191" s="8" t="n">
        <v>0</v>
      </c>
      <c r="AA191" s="8" t="n">
        <v>0</v>
      </c>
      <c r="AB191" s="8" t="n">
        <v>0</v>
      </c>
      <c r="AC191" s="8" t="n">
        <v>0</v>
      </c>
      <c r="AD191" s="8" t="n">
        <v>0</v>
      </c>
    </row>
    <row r="192" customFormat="false" ht="15" hidden="false" customHeight="false" outlineLevel="0" collapsed="false">
      <c r="A192" s="38" t="s">
        <v>1734</v>
      </c>
      <c r="B192" s="8" t="s">
        <v>1735</v>
      </c>
      <c r="C192" s="39" t="n">
        <v>12200</v>
      </c>
      <c r="D192" s="40" t="n">
        <v>46301</v>
      </c>
      <c r="E192" s="8" t="n">
        <v>14</v>
      </c>
      <c r="F192" s="39" t="n">
        <v>14100</v>
      </c>
      <c r="G192" s="39" t="n">
        <v>206</v>
      </c>
      <c r="H192" s="39" t="n">
        <v>5</v>
      </c>
      <c r="I192" s="39" t="n">
        <v>6</v>
      </c>
      <c r="J192" s="39" t="n">
        <v>13</v>
      </c>
      <c r="K192" s="8" t="s">
        <v>1240</v>
      </c>
      <c r="L192" s="41" t="s">
        <v>1736</v>
      </c>
      <c r="M192" s="42" t="n">
        <f aca="false">IFERROR(I192/F192,0)</f>
        <v>0.000425531914893617</v>
      </c>
      <c r="N192" s="42" t="n">
        <f aca="false">IFERROR(J192/F192,0)</f>
        <v>0.000921985815602837</v>
      </c>
      <c r="O192" s="8" t="n">
        <v>0</v>
      </c>
      <c r="P192" s="8" t="n">
        <v>0</v>
      </c>
      <c r="Q192" s="8" t="n">
        <v>0</v>
      </c>
      <c r="R192" s="8" t="n">
        <v>0</v>
      </c>
      <c r="S192" s="8" t="n">
        <v>0</v>
      </c>
      <c r="T192" s="8" t="n">
        <v>0</v>
      </c>
      <c r="U192" s="8" t="n">
        <v>0</v>
      </c>
      <c r="V192" s="8" t="n">
        <v>0</v>
      </c>
      <c r="W192" s="8" t="n">
        <v>1</v>
      </c>
      <c r="X192" s="8" t="n">
        <v>1</v>
      </c>
      <c r="Y192" s="8" t="n">
        <v>0</v>
      </c>
      <c r="Z192" s="8" t="n">
        <v>0</v>
      </c>
      <c r="AA192" s="8" t="n">
        <v>0</v>
      </c>
      <c r="AB192" s="8" t="n">
        <v>0</v>
      </c>
      <c r="AC192" s="8" t="n">
        <v>0</v>
      </c>
      <c r="AD192" s="8" t="n">
        <v>0</v>
      </c>
    </row>
    <row r="193" customFormat="false" ht="15" hidden="false" customHeight="false" outlineLevel="0" collapsed="false">
      <c r="A193" s="38" t="s">
        <v>1737</v>
      </c>
      <c r="B193" s="8" t="s">
        <v>1528</v>
      </c>
      <c r="C193" s="39" t="n">
        <v>7829</v>
      </c>
      <c r="D193" s="40" t="n">
        <v>45264</v>
      </c>
      <c r="E193" s="8" t="n">
        <v>60</v>
      </c>
      <c r="F193" s="39" t="n">
        <v>14000</v>
      </c>
      <c r="G193" s="39" t="n">
        <v>237</v>
      </c>
      <c r="H193" s="39" t="n">
        <v>19</v>
      </c>
      <c r="I193" s="39" t="n">
        <v>96</v>
      </c>
      <c r="J193" s="39" t="n">
        <v>63</v>
      </c>
      <c r="K193" s="8" t="s">
        <v>1243</v>
      </c>
      <c r="L193" s="41" t="s">
        <v>1738</v>
      </c>
      <c r="M193" s="42" t="n">
        <f aca="false">IFERROR(I193/F193,0)</f>
        <v>0.00685714285714286</v>
      </c>
      <c r="N193" s="42" t="n">
        <f aca="false">IFERROR(J193/F193,0)</f>
        <v>0.0045</v>
      </c>
      <c r="O193" s="8" t="n">
        <v>1</v>
      </c>
      <c r="P193" s="8" t="n">
        <v>0</v>
      </c>
      <c r="Q193" s="8" t="n">
        <v>0</v>
      </c>
      <c r="R193" s="8" t="n">
        <v>1</v>
      </c>
      <c r="S193" s="8" t="n">
        <v>0</v>
      </c>
      <c r="T193" s="8" t="n">
        <v>0</v>
      </c>
      <c r="U193" s="8" t="n">
        <v>0</v>
      </c>
      <c r="V193" s="8" t="n">
        <v>0</v>
      </c>
      <c r="W193" s="8" t="n">
        <v>0</v>
      </c>
      <c r="X193" s="8" t="n">
        <v>0</v>
      </c>
      <c r="Y193" s="8" t="n">
        <v>0</v>
      </c>
      <c r="Z193" s="8" t="n">
        <v>0</v>
      </c>
      <c r="AA193" s="8" t="n">
        <v>0</v>
      </c>
      <c r="AB193" s="8" t="n">
        <v>0</v>
      </c>
      <c r="AC193" s="8" t="n">
        <v>0</v>
      </c>
      <c r="AD193" s="8" t="n">
        <v>0</v>
      </c>
    </row>
    <row r="194" customFormat="false" ht="15" hidden="false" customHeight="false" outlineLevel="0" collapsed="false">
      <c r="A194" s="38" t="s">
        <v>1739</v>
      </c>
      <c r="B194" s="8" t="s">
        <v>1740</v>
      </c>
      <c r="C194" s="39" t="n">
        <v>685</v>
      </c>
      <c r="D194" s="40" t="n">
        <v>46012</v>
      </c>
      <c r="E194" s="8" t="n">
        <v>63</v>
      </c>
      <c r="F194" s="39" t="n">
        <v>14000</v>
      </c>
      <c r="G194" s="39" t="n">
        <v>1082</v>
      </c>
      <c r="H194" s="39" t="n">
        <v>16</v>
      </c>
      <c r="I194" s="39" t="n">
        <v>11</v>
      </c>
      <c r="J194" s="39" t="n">
        <v>47</v>
      </c>
      <c r="K194" s="8" t="s">
        <v>1240</v>
      </c>
      <c r="L194" s="41" t="s">
        <v>1741</v>
      </c>
      <c r="M194" s="42" t="n">
        <f aca="false">IFERROR(I194/F194,0)</f>
        <v>0.000785714285714286</v>
      </c>
      <c r="N194" s="42" t="n">
        <f aca="false">IFERROR(J194/F194,0)</f>
        <v>0.00335714285714286</v>
      </c>
      <c r="O194" s="8" t="n">
        <v>0</v>
      </c>
      <c r="P194" s="8" t="n">
        <v>0</v>
      </c>
      <c r="Q194" s="8" t="n">
        <v>0</v>
      </c>
      <c r="R194" s="8" t="n">
        <v>0</v>
      </c>
      <c r="S194" s="8" t="n">
        <v>0</v>
      </c>
      <c r="T194" s="8" t="n">
        <v>0</v>
      </c>
      <c r="U194" s="8" t="n">
        <v>0</v>
      </c>
      <c r="V194" s="8" t="n">
        <v>0</v>
      </c>
      <c r="W194" s="8" t="n">
        <v>0</v>
      </c>
      <c r="X194" s="8" t="n">
        <v>0</v>
      </c>
      <c r="Y194" s="8" t="n">
        <v>0</v>
      </c>
      <c r="Z194" s="8" t="n">
        <v>0</v>
      </c>
      <c r="AA194" s="8" t="n">
        <v>0</v>
      </c>
      <c r="AB194" s="8" t="n">
        <v>0</v>
      </c>
      <c r="AC194" s="8" t="n">
        <v>0</v>
      </c>
      <c r="AD194" s="8" t="n">
        <v>1</v>
      </c>
    </row>
    <row r="195" customFormat="false" ht="15" hidden="false" customHeight="false" outlineLevel="0" collapsed="false">
      <c r="A195" s="38" t="s">
        <v>1742</v>
      </c>
      <c r="B195" s="8" t="s">
        <v>1605</v>
      </c>
      <c r="C195" s="39" t="n">
        <v>18800</v>
      </c>
      <c r="D195" s="40" t="n">
        <v>46200</v>
      </c>
      <c r="E195" s="8" t="n">
        <v>78</v>
      </c>
      <c r="F195" s="39" t="n">
        <v>13900</v>
      </c>
      <c r="G195" s="39" t="n">
        <v>371</v>
      </c>
      <c r="H195" s="39" t="n">
        <v>22</v>
      </c>
      <c r="I195" s="39" t="n">
        <v>26</v>
      </c>
      <c r="J195" s="39" t="n">
        <v>70</v>
      </c>
      <c r="K195" s="8" t="s">
        <v>1240</v>
      </c>
      <c r="L195" s="41" t="s">
        <v>1743</v>
      </c>
      <c r="M195" s="42" t="n">
        <f aca="false">IFERROR(I195/F195,0)</f>
        <v>0.0018705035971223</v>
      </c>
      <c r="N195" s="42" t="n">
        <f aca="false">IFERROR(J195/F195,0)</f>
        <v>0.00503597122302158</v>
      </c>
      <c r="O195" s="8" t="n">
        <v>0</v>
      </c>
      <c r="P195" s="8" t="n">
        <v>0</v>
      </c>
      <c r="Q195" s="8" t="n">
        <v>0</v>
      </c>
      <c r="R195" s="8" t="n">
        <v>0</v>
      </c>
      <c r="S195" s="8" t="n">
        <v>0</v>
      </c>
      <c r="T195" s="8" t="n">
        <v>0</v>
      </c>
      <c r="U195" s="8" t="n">
        <v>0</v>
      </c>
      <c r="V195" s="8" t="n">
        <v>1</v>
      </c>
      <c r="W195" s="8" t="n">
        <v>0</v>
      </c>
      <c r="X195" s="8" t="n">
        <v>0</v>
      </c>
      <c r="Y195" s="8" t="n">
        <v>0</v>
      </c>
      <c r="Z195" s="8" t="n">
        <v>0</v>
      </c>
      <c r="AA195" s="8" t="n">
        <v>0</v>
      </c>
      <c r="AB195" s="8" t="n">
        <v>0</v>
      </c>
      <c r="AC195" s="8" t="n">
        <v>0</v>
      </c>
      <c r="AD195" s="8" t="n">
        <v>0</v>
      </c>
    </row>
    <row r="196" customFormat="false" ht="15" hidden="false" customHeight="false" outlineLevel="0" collapsed="false">
      <c r="A196" s="38" t="s">
        <v>1744</v>
      </c>
      <c r="B196" s="8" t="s">
        <v>1745</v>
      </c>
      <c r="C196" s="39" t="n">
        <v>103</v>
      </c>
      <c r="D196" s="40" t="n">
        <v>46295</v>
      </c>
      <c r="E196" s="8" t="n">
        <v>117</v>
      </c>
      <c r="F196" s="39" t="n">
        <v>13900</v>
      </c>
      <c r="G196" s="39" t="n">
        <v>176</v>
      </c>
      <c r="H196" s="39" t="n">
        <v>10</v>
      </c>
      <c r="I196" s="39" t="n">
        <v>234</v>
      </c>
      <c r="J196" s="39" t="n">
        <v>162</v>
      </c>
      <c r="K196" s="8" t="s">
        <v>1243</v>
      </c>
      <c r="L196" s="41" t="s">
        <v>1746</v>
      </c>
      <c r="M196" s="42" t="n">
        <f aca="false">IFERROR(I196/F196,0)</f>
        <v>0.0168345323741007</v>
      </c>
      <c r="N196" s="42" t="n">
        <f aca="false">IFERROR(J196/F196,0)</f>
        <v>0.0116546762589928</v>
      </c>
      <c r="O196" s="8" t="n">
        <v>1</v>
      </c>
      <c r="P196" s="8" t="n">
        <v>0</v>
      </c>
      <c r="Q196" s="8" t="n">
        <v>0</v>
      </c>
      <c r="R196" s="8" t="n">
        <v>0</v>
      </c>
      <c r="S196" s="8" t="n">
        <v>0</v>
      </c>
      <c r="T196" s="8" t="n">
        <v>0</v>
      </c>
      <c r="U196" s="8" t="n">
        <v>0</v>
      </c>
      <c r="V196" s="8" t="n">
        <v>1</v>
      </c>
      <c r="W196" s="8" t="n">
        <v>0</v>
      </c>
      <c r="X196" s="8" t="n">
        <v>0</v>
      </c>
      <c r="Y196" s="8" t="n">
        <v>0</v>
      </c>
      <c r="Z196" s="8" t="n">
        <v>0</v>
      </c>
      <c r="AA196" s="8" t="n">
        <v>0</v>
      </c>
      <c r="AB196" s="8" t="n">
        <v>0</v>
      </c>
      <c r="AC196" s="8" t="n">
        <v>0</v>
      </c>
      <c r="AD196" s="8" t="n">
        <v>0</v>
      </c>
    </row>
    <row r="197" customFormat="false" ht="15" hidden="false" customHeight="false" outlineLevel="0" collapsed="false">
      <c r="A197" s="38" t="s">
        <v>1747</v>
      </c>
      <c r="B197" s="8" t="s">
        <v>1452</v>
      </c>
      <c r="C197" s="39" t="n">
        <v>10700</v>
      </c>
      <c r="D197" s="40" t="n">
        <v>46264</v>
      </c>
      <c r="E197" s="8" t="n">
        <v>18</v>
      </c>
      <c r="F197" s="39" t="n">
        <v>13600</v>
      </c>
      <c r="G197" s="39" t="n">
        <v>1047</v>
      </c>
      <c r="H197" s="39" t="n">
        <v>14</v>
      </c>
      <c r="I197" s="39" t="n">
        <v>20</v>
      </c>
      <c r="J197" s="39" t="n">
        <v>127</v>
      </c>
      <c r="K197" s="8" t="s">
        <v>1240</v>
      </c>
      <c r="L197" s="41" t="s">
        <v>1748</v>
      </c>
      <c r="M197" s="42" t="n">
        <f aca="false">IFERROR(I197/F197,0)</f>
        <v>0.00147058823529412</v>
      </c>
      <c r="N197" s="42" t="n">
        <f aca="false">IFERROR(J197/F197,0)</f>
        <v>0.00933823529411765</v>
      </c>
      <c r="O197" s="8" t="n">
        <v>0</v>
      </c>
      <c r="P197" s="8" t="n">
        <v>0</v>
      </c>
      <c r="Q197" s="8" t="n">
        <v>1</v>
      </c>
      <c r="R197" s="8" t="n">
        <v>0</v>
      </c>
      <c r="S197" s="8" t="n">
        <v>0</v>
      </c>
      <c r="T197" s="8" t="n">
        <v>0</v>
      </c>
      <c r="U197" s="8" t="n">
        <v>0</v>
      </c>
      <c r="V197" s="8" t="n">
        <v>0</v>
      </c>
      <c r="W197" s="8" t="n">
        <v>0</v>
      </c>
      <c r="X197" s="8" t="n">
        <v>0</v>
      </c>
      <c r="Y197" s="8" t="n">
        <v>0</v>
      </c>
      <c r="Z197" s="8" t="n">
        <v>0</v>
      </c>
      <c r="AA197" s="8" t="n">
        <v>0</v>
      </c>
      <c r="AB197" s="8" t="n">
        <v>0</v>
      </c>
      <c r="AC197" s="8" t="n">
        <v>0</v>
      </c>
      <c r="AD197" s="8" t="n">
        <v>1</v>
      </c>
    </row>
    <row r="198" customFormat="false" ht="15" hidden="false" customHeight="false" outlineLevel="0" collapsed="false">
      <c r="A198" s="38" t="s">
        <v>1749</v>
      </c>
      <c r="B198" s="8" t="s">
        <v>1750</v>
      </c>
      <c r="C198" s="39" t="n">
        <v>2446</v>
      </c>
      <c r="D198" s="40" t="n">
        <v>44853</v>
      </c>
      <c r="E198" s="8" t="n">
        <v>96</v>
      </c>
      <c r="F198" s="39" t="n">
        <v>13200</v>
      </c>
      <c r="G198" s="39" t="n">
        <v>43</v>
      </c>
      <c r="H198" s="39" t="n">
        <v>7</v>
      </c>
      <c r="I198" s="39" t="n">
        <v>41</v>
      </c>
      <c r="J198" s="39" t="n">
        <v>13</v>
      </c>
      <c r="K198" s="8" t="s">
        <v>1243</v>
      </c>
      <c r="L198" s="41" t="s">
        <v>1751</v>
      </c>
      <c r="M198" s="42" t="n">
        <f aca="false">IFERROR(I198/F198,0)</f>
        <v>0.00310606060606061</v>
      </c>
      <c r="N198" s="42" t="n">
        <f aca="false">IFERROR(J198/F198,0)</f>
        <v>0.000984848484848485</v>
      </c>
      <c r="O198" s="8" t="n">
        <v>1</v>
      </c>
      <c r="P198" s="8" t="n">
        <v>0</v>
      </c>
      <c r="Q198" s="8" t="n">
        <v>1</v>
      </c>
      <c r="R198" s="8" t="n">
        <v>1</v>
      </c>
      <c r="S198" s="8" t="n">
        <v>1</v>
      </c>
      <c r="T198" s="8" t="n">
        <v>1</v>
      </c>
      <c r="U198" s="8" t="n">
        <v>1</v>
      </c>
      <c r="V198" s="8" t="n">
        <v>1</v>
      </c>
      <c r="W198" s="8" t="n">
        <v>1</v>
      </c>
      <c r="X198" s="8" t="n">
        <v>0</v>
      </c>
      <c r="Y198" s="8" t="n">
        <v>0</v>
      </c>
      <c r="Z198" s="8" t="n">
        <v>1</v>
      </c>
      <c r="AA198" s="8" t="n">
        <v>0</v>
      </c>
      <c r="AB198" s="8" t="n">
        <v>0</v>
      </c>
      <c r="AC198" s="8" t="n">
        <v>0</v>
      </c>
      <c r="AD198" s="8" t="n">
        <v>0</v>
      </c>
    </row>
    <row r="199" customFormat="false" ht="15" hidden="false" customHeight="false" outlineLevel="0" collapsed="false">
      <c r="A199" s="38" t="s">
        <v>1752</v>
      </c>
      <c r="B199" s="8" t="s">
        <v>1750</v>
      </c>
      <c r="C199" s="39" t="n">
        <v>2446</v>
      </c>
      <c r="D199" s="40" t="n">
        <v>46123</v>
      </c>
      <c r="E199" s="8" t="n">
        <v>71</v>
      </c>
      <c r="F199" s="39" t="n">
        <v>13100</v>
      </c>
      <c r="G199" s="39" t="n">
        <v>60</v>
      </c>
      <c r="H199" s="39" t="n">
        <v>5</v>
      </c>
      <c r="I199" s="39" t="n">
        <v>58</v>
      </c>
      <c r="J199" s="39" t="n">
        <v>30</v>
      </c>
      <c r="K199" s="8" t="s">
        <v>1243</v>
      </c>
      <c r="L199" s="41" t="s">
        <v>1753</v>
      </c>
      <c r="M199" s="42" t="n">
        <f aca="false">IFERROR(I199/F199,0)</f>
        <v>0.00442748091603053</v>
      </c>
      <c r="N199" s="42" t="n">
        <f aca="false">IFERROR(J199/F199,0)</f>
        <v>0.00229007633587786</v>
      </c>
      <c r="O199" s="8" t="n">
        <v>1</v>
      </c>
      <c r="P199" s="8" t="n">
        <v>0</v>
      </c>
      <c r="Q199" s="8" t="n">
        <v>0</v>
      </c>
      <c r="R199" s="8" t="n">
        <v>0</v>
      </c>
      <c r="S199" s="8" t="n">
        <v>0</v>
      </c>
      <c r="T199" s="8" t="n">
        <v>0</v>
      </c>
      <c r="U199" s="8" t="n">
        <v>1</v>
      </c>
      <c r="V199" s="8" t="n">
        <v>0</v>
      </c>
      <c r="W199" s="8" t="n">
        <v>0</v>
      </c>
      <c r="X199" s="8" t="n">
        <v>0</v>
      </c>
      <c r="Y199" s="8" t="n">
        <v>0</v>
      </c>
      <c r="Z199" s="8" t="n">
        <v>0</v>
      </c>
      <c r="AA199" s="8" t="n">
        <v>0</v>
      </c>
      <c r="AB199" s="8" t="n">
        <v>0</v>
      </c>
      <c r="AC199" s="8" t="n">
        <v>0</v>
      </c>
      <c r="AD199" s="8" t="n">
        <v>0</v>
      </c>
    </row>
    <row r="200" customFormat="false" ht="15" hidden="false" customHeight="false" outlineLevel="0" collapsed="false">
      <c r="A200" s="38" t="s">
        <v>1754</v>
      </c>
      <c r="B200" s="8" t="s">
        <v>1669</v>
      </c>
      <c r="C200" s="39" t="n">
        <v>13000</v>
      </c>
      <c r="D200" s="40" t="n">
        <v>46293</v>
      </c>
      <c r="E200" s="8" t="n">
        <v>29</v>
      </c>
      <c r="F200" s="39" t="n">
        <v>13100</v>
      </c>
      <c r="G200" s="39" t="n">
        <v>1212</v>
      </c>
      <c r="H200" s="39" t="n">
        <v>45</v>
      </c>
      <c r="I200" s="39" t="n">
        <v>16</v>
      </c>
      <c r="J200" s="39" t="n">
        <v>133</v>
      </c>
      <c r="K200" s="8" t="s">
        <v>1240</v>
      </c>
      <c r="L200" s="41" t="s">
        <v>1755</v>
      </c>
      <c r="M200" s="42" t="n">
        <f aca="false">IFERROR(I200/F200,0)</f>
        <v>0.00122137404580153</v>
      </c>
      <c r="N200" s="42" t="n">
        <f aca="false">IFERROR(J200/F200,0)</f>
        <v>0.0101526717557252</v>
      </c>
      <c r="O200" s="8" t="n">
        <v>0</v>
      </c>
      <c r="P200" s="8" t="n">
        <v>0</v>
      </c>
      <c r="Q200" s="8" t="n">
        <v>0</v>
      </c>
      <c r="R200" s="8" t="n">
        <v>0</v>
      </c>
      <c r="S200" s="8" t="n">
        <v>0</v>
      </c>
      <c r="T200" s="8" t="n">
        <v>0</v>
      </c>
      <c r="U200" s="8" t="n">
        <v>0</v>
      </c>
      <c r="V200" s="8" t="n">
        <v>0</v>
      </c>
      <c r="W200" s="8" t="n">
        <v>1</v>
      </c>
      <c r="X200" s="8" t="n">
        <v>1</v>
      </c>
      <c r="Y200" s="8" t="n">
        <v>0</v>
      </c>
      <c r="Z200" s="8" t="n">
        <v>0</v>
      </c>
      <c r="AA200" s="8" t="n">
        <v>0</v>
      </c>
      <c r="AB200" s="8" t="n">
        <v>0</v>
      </c>
      <c r="AC200" s="8" t="n">
        <v>0</v>
      </c>
      <c r="AD200" s="8" t="n">
        <v>0</v>
      </c>
    </row>
    <row r="201" customFormat="false" ht="15" hidden="false" customHeight="false" outlineLevel="0" collapsed="false">
      <c r="A201" s="38" t="s">
        <v>1756</v>
      </c>
      <c r="B201" s="8" t="s">
        <v>1757</v>
      </c>
      <c r="C201" s="39" t="n">
        <v>4495</v>
      </c>
      <c r="D201" s="40" t="n">
        <v>46174</v>
      </c>
      <c r="E201" s="8" t="n">
        <v>44</v>
      </c>
      <c r="F201" s="39" t="n">
        <v>12900</v>
      </c>
      <c r="G201" s="39" t="n">
        <v>1080</v>
      </c>
      <c r="H201" s="39" t="n">
        <v>4</v>
      </c>
      <c r="I201" s="39" t="n">
        <v>11</v>
      </c>
      <c r="J201" s="39" t="n">
        <v>41</v>
      </c>
      <c r="K201" s="8" t="s">
        <v>1243</v>
      </c>
      <c r="L201" s="41" t="s">
        <v>1758</v>
      </c>
      <c r="M201" s="42" t="n">
        <f aca="false">IFERROR(I201/F201,0)</f>
        <v>0.000852713178294574</v>
      </c>
      <c r="N201" s="42" t="n">
        <f aca="false">IFERROR(J201/F201,0)</f>
        <v>0.00317829457364341</v>
      </c>
      <c r="O201" s="8" t="n">
        <v>0</v>
      </c>
      <c r="P201" s="8" t="n">
        <v>0</v>
      </c>
      <c r="Q201" s="8" t="n">
        <v>1</v>
      </c>
      <c r="R201" s="8" t="n">
        <v>0</v>
      </c>
      <c r="S201" s="8" t="n">
        <v>0</v>
      </c>
      <c r="T201" s="8" t="n">
        <v>0</v>
      </c>
      <c r="U201" s="8" t="n">
        <v>0</v>
      </c>
      <c r="V201" s="8" t="n">
        <v>0</v>
      </c>
      <c r="W201" s="8" t="n">
        <v>0</v>
      </c>
      <c r="X201" s="8" t="n">
        <v>0</v>
      </c>
      <c r="Y201" s="8" t="n">
        <v>0</v>
      </c>
      <c r="Z201" s="8" t="n">
        <v>0</v>
      </c>
      <c r="AA201" s="8" t="n">
        <v>0</v>
      </c>
      <c r="AB201" s="8" t="n">
        <v>0</v>
      </c>
      <c r="AC201" s="8" t="n">
        <v>1</v>
      </c>
      <c r="AD201" s="8" t="n">
        <v>0</v>
      </c>
    </row>
    <row r="202" customFormat="false" ht="15" hidden="false" customHeight="false" outlineLevel="0" collapsed="false">
      <c r="A202" s="38" t="s">
        <v>1759</v>
      </c>
      <c r="B202" s="8" t="s">
        <v>1516</v>
      </c>
      <c r="C202" s="39" t="n">
        <v>1041</v>
      </c>
      <c r="D202" s="40" t="n">
        <v>46115</v>
      </c>
      <c r="E202" s="8" t="n">
        <v>96</v>
      </c>
      <c r="F202" s="39" t="n">
        <v>12600</v>
      </c>
      <c r="G202" s="39" t="n">
        <v>686</v>
      </c>
      <c r="H202" s="39" t="n">
        <v>7</v>
      </c>
      <c r="I202" s="39" t="n">
        <v>52</v>
      </c>
      <c r="J202" s="39" t="n">
        <v>62</v>
      </c>
      <c r="K202" s="8" t="s">
        <v>1243</v>
      </c>
      <c r="L202" s="41" t="s">
        <v>1760</v>
      </c>
      <c r="M202" s="42" t="n">
        <f aca="false">IFERROR(I202/F202,0)</f>
        <v>0.00412698412698413</v>
      </c>
      <c r="N202" s="42" t="n">
        <f aca="false">IFERROR(J202/F202,0)</f>
        <v>0.00492063492063492</v>
      </c>
      <c r="O202" s="8" t="n">
        <v>0</v>
      </c>
      <c r="P202" s="8" t="n">
        <v>0</v>
      </c>
      <c r="Q202" s="8" t="n">
        <v>0</v>
      </c>
      <c r="R202" s="8" t="n">
        <v>0</v>
      </c>
      <c r="S202" s="8" t="n">
        <v>0</v>
      </c>
      <c r="T202" s="8" t="n">
        <v>0</v>
      </c>
      <c r="U202" s="8" t="n">
        <v>0</v>
      </c>
      <c r="V202" s="8" t="n">
        <v>0</v>
      </c>
      <c r="W202" s="8" t="n">
        <v>0</v>
      </c>
      <c r="X202" s="8" t="n">
        <v>0</v>
      </c>
      <c r="Y202" s="8" t="n">
        <v>0</v>
      </c>
      <c r="Z202" s="8" t="n">
        <v>0</v>
      </c>
      <c r="AA202" s="8" t="n">
        <v>0</v>
      </c>
      <c r="AB202" s="8" t="n">
        <v>0</v>
      </c>
      <c r="AC202" s="8" t="n">
        <v>0</v>
      </c>
      <c r="AD202" s="8" t="n">
        <v>0</v>
      </c>
    </row>
    <row r="203" customFormat="false" ht="15" hidden="false" customHeight="false" outlineLevel="0" collapsed="false">
      <c r="A203" s="38" t="s">
        <v>1761</v>
      </c>
      <c r="B203" s="8" t="s">
        <v>1496</v>
      </c>
      <c r="C203" s="39" t="n">
        <v>12800</v>
      </c>
      <c r="D203" s="40" t="n">
        <v>46077</v>
      </c>
      <c r="E203" s="8" t="n">
        <v>25</v>
      </c>
      <c r="F203" s="39" t="n">
        <v>12400</v>
      </c>
      <c r="G203" s="39" t="n">
        <v>136</v>
      </c>
      <c r="H203" s="39" t="n">
        <v>9</v>
      </c>
      <c r="I203" s="39" t="n">
        <v>80</v>
      </c>
      <c r="J203" s="39" t="n">
        <v>37</v>
      </c>
      <c r="K203" s="8" t="s">
        <v>1243</v>
      </c>
      <c r="L203" s="41" t="s">
        <v>1497</v>
      </c>
      <c r="M203" s="42" t="n">
        <f aca="false">IFERROR(I203/F203,0)</f>
        <v>0.00645161290322581</v>
      </c>
      <c r="N203" s="42" t="n">
        <f aca="false">IFERROR(J203/F203,0)</f>
        <v>0.00298387096774194</v>
      </c>
      <c r="O203" s="8" t="n">
        <v>0</v>
      </c>
      <c r="P203" s="8" t="n">
        <v>0</v>
      </c>
      <c r="Q203" s="8" t="n">
        <v>1</v>
      </c>
      <c r="R203" s="8" t="n">
        <v>0</v>
      </c>
      <c r="S203" s="8" t="n">
        <v>0</v>
      </c>
      <c r="T203" s="8" t="n">
        <v>0</v>
      </c>
      <c r="U203" s="8" t="n">
        <v>1</v>
      </c>
      <c r="V203" s="8" t="n">
        <v>1</v>
      </c>
      <c r="W203" s="8" t="n">
        <v>0</v>
      </c>
      <c r="X203" s="8" t="n">
        <v>0</v>
      </c>
      <c r="Y203" s="8" t="n">
        <v>0</v>
      </c>
      <c r="Z203" s="8" t="n">
        <v>0</v>
      </c>
      <c r="AA203" s="8" t="n">
        <v>0</v>
      </c>
      <c r="AB203" s="8" t="n">
        <v>0</v>
      </c>
      <c r="AC203" s="8" t="n">
        <v>0</v>
      </c>
      <c r="AD203" s="8" t="n">
        <v>0</v>
      </c>
    </row>
    <row r="204" customFormat="false" ht="15" hidden="false" customHeight="false" outlineLevel="0" collapsed="false">
      <c r="A204" s="38" t="s">
        <v>1762</v>
      </c>
      <c r="B204" s="8" t="s">
        <v>1763</v>
      </c>
      <c r="C204" s="39" t="n">
        <v>2324</v>
      </c>
      <c r="D204" s="40" t="n">
        <v>46080</v>
      </c>
      <c r="E204" s="8" t="n">
        <v>31</v>
      </c>
      <c r="F204" s="39" t="n">
        <v>12100</v>
      </c>
      <c r="G204" s="39" t="n">
        <v>70</v>
      </c>
      <c r="H204" s="39" t="n">
        <v>33</v>
      </c>
      <c r="I204" s="39" t="n">
        <v>55</v>
      </c>
      <c r="J204" s="39" t="n">
        <v>68</v>
      </c>
      <c r="K204" s="8" t="s">
        <v>1240</v>
      </c>
      <c r="L204" s="41" t="s">
        <v>1764</v>
      </c>
      <c r="M204" s="42" t="n">
        <f aca="false">IFERROR(I204/F204,0)</f>
        <v>0.00454545454545455</v>
      </c>
      <c r="N204" s="42" t="n">
        <f aca="false">IFERROR(J204/F204,0)</f>
        <v>0.0056198347107438</v>
      </c>
      <c r="O204" s="8" t="n">
        <v>0</v>
      </c>
      <c r="P204" s="8" t="n">
        <v>0</v>
      </c>
      <c r="Q204" s="8" t="n">
        <v>0</v>
      </c>
      <c r="R204" s="8" t="n">
        <v>0</v>
      </c>
      <c r="S204" s="8" t="n">
        <v>0</v>
      </c>
      <c r="T204" s="8" t="n">
        <v>0</v>
      </c>
      <c r="U204" s="8" t="n">
        <v>1</v>
      </c>
      <c r="V204" s="8" t="n">
        <v>1</v>
      </c>
      <c r="W204" s="8" t="n">
        <v>0</v>
      </c>
      <c r="X204" s="8" t="n">
        <v>0</v>
      </c>
      <c r="Y204" s="8" t="n">
        <v>0</v>
      </c>
      <c r="Z204" s="8" t="n">
        <v>0</v>
      </c>
      <c r="AA204" s="8" t="n">
        <v>0</v>
      </c>
      <c r="AB204" s="8" t="n">
        <v>0</v>
      </c>
      <c r="AC204" s="8" t="n">
        <v>0</v>
      </c>
      <c r="AD204" s="8" t="n">
        <v>0</v>
      </c>
    </row>
    <row r="205" customFormat="false" ht="15" hidden="false" customHeight="false" outlineLevel="0" collapsed="false">
      <c r="A205" s="38" t="s">
        <v>1765</v>
      </c>
      <c r="B205" s="8" t="s">
        <v>1669</v>
      </c>
      <c r="C205" s="39" t="n">
        <v>13000</v>
      </c>
      <c r="D205" s="40" t="n">
        <v>46196</v>
      </c>
      <c r="E205" s="8" t="n">
        <v>29</v>
      </c>
      <c r="F205" s="39" t="n">
        <v>11500</v>
      </c>
      <c r="G205" s="39" t="n">
        <v>396</v>
      </c>
      <c r="H205" s="39" t="n">
        <v>33</v>
      </c>
      <c r="I205" s="39" t="n">
        <v>33</v>
      </c>
      <c r="J205" s="39" t="n">
        <v>54</v>
      </c>
      <c r="K205" s="8" t="s">
        <v>1240</v>
      </c>
      <c r="L205" s="41" t="s">
        <v>1766</v>
      </c>
      <c r="M205" s="42" t="n">
        <f aca="false">IFERROR(I205/F205,0)</f>
        <v>0.0028695652173913</v>
      </c>
      <c r="N205" s="42" t="n">
        <f aca="false">IFERROR(J205/F205,0)</f>
        <v>0.00469565217391304</v>
      </c>
      <c r="O205" s="8" t="n">
        <v>0</v>
      </c>
      <c r="P205" s="8" t="n">
        <v>0</v>
      </c>
      <c r="Q205" s="8" t="n">
        <v>0</v>
      </c>
      <c r="R205" s="8" t="n">
        <v>0</v>
      </c>
      <c r="S205" s="8" t="n">
        <v>0</v>
      </c>
      <c r="T205" s="8" t="n">
        <v>0</v>
      </c>
      <c r="U205" s="8" t="n">
        <v>0</v>
      </c>
      <c r="V205" s="8" t="n">
        <v>0</v>
      </c>
      <c r="W205" s="8" t="n">
        <v>1</v>
      </c>
      <c r="X205" s="8" t="n">
        <v>1</v>
      </c>
      <c r="Y205" s="8" t="n">
        <v>0</v>
      </c>
      <c r="Z205" s="8" t="n">
        <v>0</v>
      </c>
      <c r="AA205" s="8" t="n">
        <v>0</v>
      </c>
      <c r="AB205" s="8" t="n">
        <v>0</v>
      </c>
      <c r="AC205" s="8" t="n">
        <v>0</v>
      </c>
      <c r="AD205" s="8" t="n">
        <v>0</v>
      </c>
    </row>
    <row r="206" customFormat="false" ht="15" hidden="false" customHeight="false" outlineLevel="0" collapsed="false">
      <c r="A206" s="38" t="s">
        <v>1767</v>
      </c>
      <c r="B206" s="8" t="s">
        <v>1713</v>
      </c>
      <c r="C206" s="39" t="n">
        <v>200500</v>
      </c>
      <c r="D206" s="40" t="n">
        <v>46313</v>
      </c>
      <c r="E206" s="8" t="n">
        <v>144</v>
      </c>
      <c r="F206" s="39" t="n">
        <v>11000</v>
      </c>
      <c r="G206" s="39" t="n">
        <v>461</v>
      </c>
      <c r="H206" s="39" t="n">
        <v>16</v>
      </c>
      <c r="I206" s="39" t="n">
        <v>4</v>
      </c>
      <c r="J206" s="39" t="n">
        <v>14</v>
      </c>
      <c r="K206" s="8" t="s">
        <v>1240</v>
      </c>
      <c r="L206" s="41" t="s">
        <v>1768</v>
      </c>
      <c r="M206" s="42" t="n">
        <f aca="false">IFERROR(I206/F206,0)</f>
        <v>0.000363636363636364</v>
      </c>
      <c r="N206" s="42" t="n">
        <f aca="false">IFERROR(J206/F206,0)</f>
        <v>0.00127272727272727</v>
      </c>
      <c r="O206" s="8" t="n">
        <v>1</v>
      </c>
      <c r="P206" s="8" t="n">
        <v>1</v>
      </c>
      <c r="Q206" s="8" t="n">
        <v>0</v>
      </c>
      <c r="R206" s="8" t="n">
        <v>0</v>
      </c>
      <c r="S206" s="8" t="n">
        <v>0</v>
      </c>
      <c r="T206" s="8" t="n">
        <v>0</v>
      </c>
      <c r="U206" s="8" t="n">
        <v>0</v>
      </c>
      <c r="V206" s="8" t="n">
        <v>0</v>
      </c>
      <c r="W206" s="8" t="n">
        <v>0</v>
      </c>
      <c r="X206" s="8" t="n">
        <v>0</v>
      </c>
      <c r="Y206" s="8" t="n">
        <v>0</v>
      </c>
      <c r="Z206" s="8" t="n">
        <v>0</v>
      </c>
      <c r="AA206" s="8" t="n">
        <v>0</v>
      </c>
      <c r="AB206" s="8" t="n">
        <v>0</v>
      </c>
      <c r="AC206" s="8" t="n">
        <v>0</v>
      </c>
      <c r="AD206" s="8" t="n">
        <v>0</v>
      </c>
    </row>
    <row r="207" customFormat="false" ht="15" hidden="false" customHeight="false" outlineLevel="0" collapsed="false">
      <c r="A207" s="38" t="s">
        <v>1769</v>
      </c>
      <c r="B207" s="8" t="s">
        <v>1770</v>
      </c>
      <c r="C207" s="39" t="n">
        <v>18600</v>
      </c>
      <c r="D207" s="40" t="n">
        <v>46314</v>
      </c>
      <c r="E207" s="8" t="n">
        <v>84</v>
      </c>
      <c r="F207" s="39" t="n">
        <v>10900</v>
      </c>
      <c r="G207" s="39" t="n">
        <v>41</v>
      </c>
      <c r="H207" s="39" t="n">
        <v>0</v>
      </c>
      <c r="I207" s="39" t="n">
        <v>9</v>
      </c>
      <c r="J207" s="39" t="n">
        <v>7</v>
      </c>
      <c r="K207" s="8" t="s">
        <v>1243</v>
      </c>
      <c r="L207" s="41" t="s">
        <v>1771</v>
      </c>
      <c r="M207" s="42" t="n">
        <f aca="false">IFERROR(I207/F207,0)</f>
        <v>0.000825688073394495</v>
      </c>
      <c r="N207" s="42" t="n">
        <f aca="false">IFERROR(J207/F207,0)</f>
        <v>0.000642201834862385</v>
      </c>
      <c r="O207" s="8" t="n">
        <v>0</v>
      </c>
      <c r="P207" s="8" t="n">
        <v>0</v>
      </c>
      <c r="Q207" s="8" t="n">
        <v>1</v>
      </c>
      <c r="R207" s="8" t="n">
        <v>0</v>
      </c>
      <c r="S207" s="8" t="n">
        <v>0</v>
      </c>
      <c r="T207" s="8" t="n">
        <v>0</v>
      </c>
      <c r="U207" s="8" t="n">
        <v>1</v>
      </c>
      <c r="V207" s="8" t="n">
        <v>0</v>
      </c>
      <c r="W207" s="8" t="n">
        <v>0</v>
      </c>
      <c r="X207" s="8" t="n">
        <v>0</v>
      </c>
      <c r="Y207" s="8" t="n">
        <v>0</v>
      </c>
      <c r="Z207" s="8" t="n">
        <v>0</v>
      </c>
      <c r="AA207" s="8" t="n">
        <v>0</v>
      </c>
      <c r="AB207" s="8" t="n">
        <v>0</v>
      </c>
      <c r="AC207" s="8" t="n">
        <v>0</v>
      </c>
      <c r="AD207" s="8" t="n">
        <v>1</v>
      </c>
    </row>
    <row r="208" customFormat="false" ht="15" hidden="false" customHeight="false" outlineLevel="0" collapsed="false">
      <c r="A208" s="38" t="s">
        <v>1772</v>
      </c>
      <c r="B208" s="8" t="s">
        <v>1773</v>
      </c>
      <c r="C208" s="39" t="n">
        <v>1500</v>
      </c>
      <c r="D208" s="40" t="n">
        <v>46120</v>
      </c>
      <c r="E208" s="8" t="n">
        <v>56</v>
      </c>
      <c r="F208" s="39" t="n">
        <v>10700</v>
      </c>
      <c r="G208" s="39" t="n">
        <v>90</v>
      </c>
      <c r="H208" s="39" t="n">
        <v>11</v>
      </c>
      <c r="I208" s="39" t="n">
        <v>23</v>
      </c>
      <c r="J208" s="39" t="n">
        <v>32</v>
      </c>
      <c r="K208" s="8" t="s">
        <v>1243</v>
      </c>
      <c r="L208" s="41" t="s">
        <v>1774</v>
      </c>
      <c r="M208" s="42" t="n">
        <f aca="false">IFERROR(I208/F208,0)</f>
        <v>0.00214953271028037</v>
      </c>
      <c r="N208" s="42" t="n">
        <f aca="false">IFERROR(J208/F208,0)</f>
        <v>0.00299065420560748</v>
      </c>
      <c r="O208" s="8" t="n">
        <v>0</v>
      </c>
      <c r="P208" s="8" t="n">
        <v>0</v>
      </c>
      <c r="Q208" s="8" t="n">
        <v>0</v>
      </c>
      <c r="R208" s="8" t="n">
        <v>0</v>
      </c>
      <c r="S208" s="8" t="n">
        <v>0</v>
      </c>
      <c r="T208" s="8" t="n">
        <v>0</v>
      </c>
      <c r="U208" s="8" t="n">
        <v>0</v>
      </c>
      <c r="V208" s="8" t="n">
        <v>0</v>
      </c>
      <c r="W208" s="8" t="n">
        <v>0</v>
      </c>
      <c r="X208" s="8" t="n">
        <v>0</v>
      </c>
      <c r="Y208" s="8" t="n">
        <v>0</v>
      </c>
      <c r="Z208" s="8" t="n">
        <v>0</v>
      </c>
      <c r="AA208" s="8" t="n">
        <v>0</v>
      </c>
      <c r="AB208" s="8" t="n">
        <v>1</v>
      </c>
      <c r="AC208" s="8" t="n">
        <v>1</v>
      </c>
      <c r="AD208" s="8" t="n">
        <v>0</v>
      </c>
    </row>
    <row r="209" customFormat="false" ht="15" hidden="false" customHeight="false" outlineLevel="0" collapsed="false">
      <c r="A209" s="38" t="s">
        <v>1775</v>
      </c>
      <c r="B209" s="8" t="s">
        <v>1770</v>
      </c>
      <c r="C209" s="39" t="n">
        <v>18600</v>
      </c>
      <c r="D209" s="40" t="n">
        <v>46313</v>
      </c>
      <c r="E209" s="8" t="n">
        <v>80</v>
      </c>
      <c r="F209" s="39" t="n">
        <v>10600</v>
      </c>
      <c r="G209" s="39" t="n">
        <v>17</v>
      </c>
      <c r="H209" s="39" t="n">
        <v>1</v>
      </c>
      <c r="I209" s="39" t="n">
        <v>3</v>
      </c>
      <c r="J209" s="39" t="n">
        <v>2</v>
      </c>
      <c r="K209" s="8" t="s">
        <v>1243</v>
      </c>
      <c r="L209" s="41" t="s">
        <v>1776</v>
      </c>
      <c r="M209" s="42" t="n">
        <f aca="false">IFERROR(I209/F209,0)</f>
        <v>0.000283018867924528</v>
      </c>
      <c r="N209" s="42" t="n">
        <f aca="false">IFERROR(J209/F209,0)</f>
        <v>0.000188679245283019</v>
      </c>
      <c r="O209" s="8" t="n">
        <v>0</v>
      </c>
      <c r="P209" s="8" t="n">
        <v>0</v>
      </c>
      <c r="Q209" s="8" t="n">
        <v>1</v>
      </c>
      <c r="R209" s="8" t="n">
        <v>0</v>
      </c>
      <c r="S209" s="8" t="n">
        <v>0</v>
      </c>
      <c r="T209" s="8" t="n">
        <v>0</v>
      </c>
      <c r="U209" s="8" t="n">
        <v>1</v>
      </c>
      <c r="V209" s="8" t="n">
        <v>0</v>
      </c>
      <c r="W209" s="8" t="n">
        <v>0</v>
      </c>
      <c r="X209" s="8" t="n">
        <v>0</v>
      </c>
      <c r="Y209" s="8" t="n">
        <v>0</v>
      </c>
      <c r="Z209" s="8" t="n">
        <v>0</v>
      </c>
      <c r="AA209" s="8" t="n">
        <v>0</v>
      </c>
      <c r="AB209" s="8" t="n">
        <v>0</v>
      </c>
      <c r="AC209" s="8" t="n">
        <v>0</v>
      </c>
      <c r="AD209" s="8" t="n">
        <v>1</v>
      </c>
    </row>
    <row r="210" customFormat="false" ht="15" hidden="false" customHeight="false" outlineLevel="0" collapsed="false">
      <c r="A210" s="38" t="s">
        <v>1777</v>
      </c>
      <c r="B210" s="8" t="s">
        <v>1778</v>
      </c>
      <c r="C210" s="39" t="n">
        <v>101700</v>
      </c>
      <c r="D210" s="40" t="n">
        <v>46124</v>
      </c>
      <c r="E210" s="8" t="n">
        <v>26</v>
      </c>
      <c r="F210" s="39" t="n">
        <v>10600</v>
      </c>
      <c r="G210" s="39" t="n">
        <v>253</v>
      </c>
      <c r="H210" s="39" t="n">
        <v>11</v>
      </c>
      <c r="I210" s="39" t="n">
        <v>22</v>
      </c>
      <c r="J210" s="39" t="n">
        <v>31</v>
      </c>
      <c r="K210" s="8" t="s">
        <v>1240</v>
      </c>
      <c r="L210" s="41" t="s">
        <v>1779</v>
      </c>
      <c r="M210" s="42" t="n">
        <f aca="false">IFERROR(I210/F210,0)</f>
        <v>0.00207547169811321</v>
      </c>
      <c r="N210" s="42" t="n">
        <f aca="false">IFERROR(J210/F210,0)</f>
        <v>0.00292452830188679</v>
      </c>
      <c r="O210" s="8" t="n">
        <v>1</v>
      </c>
      <c r="P210" s="8" t="n">
        <v>0</v>
      </c>
      <c r="Q210" s="8" t="n">
        <v>0</v>
      </c>
      <c r="R210" s="8" t="n">
        <v>0</v>
      </c>
      <c r="S210" s="8" t="n">
        <v>0</v>
      </c>
      <c r="T210" s="8" t="n">
        <v>0</v>
      </c>
      <c r="U210" s="8" t="n">
        <v>0</v>
      </c>
      <c r="V210" s="8" t="n">
        <v>0</v>
      </c>
      <c r="W210" s="8" t="n">
        <v>0</v>
      </c>
      <c r="X210" s="8" t="n">
        <v>0</v>
      </c>
      <c r="Y210" s="8" t="n">
        <v>0</v>
      </c>
      <c r="Z210" s="8" t="n">
        <v>0</v>
      </c>
      <c r="AA210" s="8" t="n">
        <v>0</v>
      </c>
      <c r="AB210" s="8" t="n">
        <v>1</v>
      </c>
      <c r="AC210" s="8" t="n">
        <v>0</v>
      </c>
      <c r="AD210" s="8" t="n">
        <v>0</v>
      </c>
    </row>
    <row r="211" customFormat="false" ht="15" hidden="false" customHeight="false" outlineLevel="0" collapsed="false">
      <c r="A211" s="38" t="s">
        <v>1780</v>
      </c>
      <c r="B211" s="8" t="s">
        <v>1781</v>
      </c>
      <c r="C211" s="39" t="n">
        <v>32000</v>
      </c>
      <c r="D211" s="40" t="n">
        <v>45412</v>
      </c>
      <c r="E211" s="8" t="n">
        <v>39</v>
      </c>
      <c r="F211" s="39" t="n">
        <v>10600</v>
      </c>
      <c r="G211" s="39" t="n">
        <v>124</v>
      </c>
      <c r="H211" s="39" t="n">
        <v>5</v>
      </c>
      <c r="I211" s="39" t="n">
        <v>13</v>
      </c>
      <c r="J211" s="39" t="n">
        <v>21</v>
      </c>
      <c r="K211" s="8" t="s">
        <v>1240</v>
      </c>
      <c r="L211" s="41" t="s">
        <v>1782</v>
      </c>
      <c r="M211" s="42" t="n">
        <f aca="false">IFERROR(I211/F211,0)</f>
        <v>0.00122641509433962</v>
      </c>
      <c r="N211" s="42" t="n">
        <f aca="false">IFERROR(J211/F211,0)</f>
        <v>0.0019811320754717</v>
      </c>
      <c r="O211" s="8" t="n">
        <v>0</v>
      </c>
      <c r="P211" s="8" t="n">
        <v>0</v>
      </c>
      <c r="Q211" s="8" t="n">
        <v>0</v>
      </c>
      <c r="R211" s="8" t="n">
        <v>0</v>
      </c>
      <c r="S211" s="8" t="n">
        <v>0</v>
      </c>
      <c r="T211" s="8" t="n">
        <v>0</v>
      </c>
      <c r="U211" s="8" t="n">
        <v>0</v>
      </c>
      <c r="V211" s="8" t="n">
        <v>1</v>
      </c>
      <c r="W211" s="8" t="n">
        <v>0</v>
      </c>
      <c r="X211" s="8" t="n">
        <v>0</v>
      </c>
      <c r="Y211" s="8" t="n">
        <v>0</v>
      </c>
      <c r="Z211" s="8" t="n">
        <v>0</v>
      </c>
      <c r="AA211" s="8" t="n">
        <v>0</v>
      </c>
      <c r="AB211" s="8" t="n">
        <v>0</v>
      </c>
      <c r="AC211" s="8" t="n">
        <v>0</v>
      </c>
      <c r="AD211" s="8" t="n">
        <v>0</v>
      </c>
    </row>
    <row r="212" customFormat="false" ht="15" hidden="false" customHeight="false" outlineLevel="0" collapsed="false">
      <c r="A212" s="38" t="s">
        <v>1783</v>
      </c>
      <c r="B212" s="8" t="s">
        <v>1784</v>
      </c>
      <c r="C212" s="39" t="n">
        <v>379</v>
      </c>
      <c r="D212" s="40" t="n">
        <v>46026</v>
      </c>
      <c r="E212" s="8" t="n">
        <v>58</v>
      </c>
      <c r="F212" s="39" t="n">
        <v>10600</v>
      </c>
      <c r="G212" s="39" t="n">
        <v>778</v>
      </c>
      <c r="H212" s="39" t="n">
        <v>8</v>
      </c>
      <c r="I212" s="39" t="n">
        <v>10</v>
      </c>
      <c r="J212" s="39" t="n">
        <v>28</v>
      </c>
      <c r="K212" s="8" t="s">
        <v>1240</v>
      </c>
      <c r="L212" s="41" t="s">
        <v>1785</v>
      </c>
      <c r="M212" s="42" t="n">
        <f aca="false">IFERROR(I212/F212,0)</f>
        <v>0.000943396226415094</v>
      </c>
      <c r="N212" s="42" t="n">
        <f aca="false">IFERROR(J212/F212,0)</f>
        <v>0.00264150943396226</v>
      </c>
      <c r="O212" s="8" t="n">
        <v>0</v>
      </c>
      <c r="P212" s="8" t="n">
        <v>0</v>
      </c>
      <c r="Q212" s="8" t="n">
        <v>0</v>
      </c>
      <c r="R212" s="8" t="n">
        <v>0</v>
      </c>
      <c r="S212" s="8" t="n">
        <v>0</v>
      </c>
      <c r="T212" s="8" t="n">
        <v>1</v>
      </c>
      <c r="U212" s="8" t="n">
        <v>0</v>
      </c>
      <c r="V212" s="8" t="n">
        <v>0</v>
      </c>
      <c r="W212" s="8" t="n">
        <v>0</v>
      </c>
      <c r="X212" s="8" t="n">
        <v>1</v>
      </c>
      <c r="Y212" s="8" t="n">
        <v>0</v>
      </c>
      <c r="Z212" s="8" t="n">
        <v>0</v>
      </c>
      <c r="AA212" s="8" t="n">
        <v>0</v>
      </c>
      <c r="AB212" s="8" t="n">
        <v>0</v>
      </c>
      <c r="AC212" s="8" t="n">
        <v>0</v>
      </c>
      <c r="AD212" s="8" t="n">
        <v>0</v>
      </c>
    </row>
    <row r="213" customFormat="false" ht="15" hidden="false" customHeight="false" outlineLevel="0" collapsed="false">
      <c r="A213" s="38" t="s">
        <v>1786</v>
      </c>
      <c r="B213" s="8" t="s">
        <v>1787</v>
      </c>
      <c r="C213" s="39" t="n">
        <v>19200</v>
      </c>
      <c r="D213" s="40" t="n">
        <v>46023</v>
      </c>
      <c r="E213" s="8" t="n">
        <v>19</v>
      </c>
      <c r="F213" s="39" t="n">
        <v>10500</v>
      </c>
      <c r="G213" s="39" t="n">
        <v>336</v>
      </c>
      <c r="H213" s="39" t="n">
        <v>14</v>
      </c>
      <c r="I213" s="39" t="n">
        <v>25</v>
      </c>
      <c r="J213" s="39" t="n">
        <v>30</v>
      </c>
      <c r="K213" s="8" t="s">
        <v>1243</v>
      </c>
      <c r="L213" s="41" t="s">
        <v>1788</v>
      </c>
      <c r="M213" s="42" t="n">
        <f aca="false">IFERROR(I213/F213,0)</f>
        <v>0.00238095238095238</v>
      </c>
      <c r="N213" s="42" t="n">
        <f aca="false">IFERROR(J213/F213,0)</f>
        <v>0.00285714285714286</v>
      </c>
      <c r="O213" s="8" t="n">
        <v>1</v>
      </c>
      <c r="P213" s="8" t="n">
        <v>0</v>
      </c>
      <c r="Q213" s="8" t="n">
        <v>0</v>
      </c>
      <c r="R213" s="8" t="n">
        <v>1</v>
      </c>
      <c r="S213" s="8" t="n">
        <v>0</v>
      </c>
      <c r="T213" s="8" t="n">
        <v>0</v>
      </c>
      <c r="U213" s="8" t="n">
        <v>0</v>
      </c>
      <c r="V213" s="8" t="n">
        <v>0</v>
      </c>
      <c r="W213" s="8" t="n">
        <v>0</v>
      </c>
      <c r="X213" s="8" t="n">
        <v>0</v>
      </c>
      <c r="Y213" s="8" t="n">
        <v>0</v>
      </c>
      <c r="Z213" s="8" t="n">
        <v>0</v>
      </c>
      <c r="AA213" s="8" t="n">
        <v>0</v>
      </c>
      <c r="AB213" s="8" t="n">
        <v>0</v>
      </c>
      <c r="AC213" s="8" t="n">
        <v>0</v>
      </c>
      <c r="AD213" s="8" t="n">
        <v>0</v>
      </c>
    </row>
    <row r="214" customFormat="false" ht="15" hidden="false" customHeight="false" outlineLevel="0" collapsed="false">
      <c r="A214" s="38" t="s">
        <v>1789</v>
      </c>
      <c r="B214" s="8" t="s">
        <v>1790</v>
      </c>
      <c r="C214" s="39" t="n">
        <v>1525</v>
      </c>
      <c r="D214" s="40" t="n">
        <v>46181</v>
      </c>
      <c r="E214" s="8" t="n">
        <v>5</v>
      </c>
      <c r="F214" s="39" t="n">
        <v>10500</v>
      </c>
      <c r="G214" s="39" t="n">
        <v>125</v>
      </c>
      <c r="H214" s="39" t="n">
        <v>4</v>
      </c>
      <c r="I214" s="39" t="n">
        <v>44</v>
      </c>
      <c r="J214" s="39" t="n">
        <v>34</v>
      </c>
      <c r="K214" s="8" t="s">
        <v>1240</v>
      </c>
      <c r="L214" s="41" t="s">
        <v>1791</v>
      </c>
      <c r="M214" s="42" t="n">
        <f aca="false">IFERROR(I214/F214,0)</f>
        <v>0.00419047619047619</v>
      </c>
      <c r="N214" s="42" t="n">
        <f aca="false">IFERROR(J214/F214,0)</f>
        <v>0.00323809523809524</v>
      </c>
      <c r="O214" s="8" t="n">
        <v>0</v>
      </c>
      <c r="P214" s="8" t="n">
        <v>0</v>
      </c>
      <c r="Q214" s="8" t="n">
        <v>0</v>
      </c>
      <c r="R214" s="8" t="n">
        <v>1</v>
      </c>
      <c r="S214" s="8" t="n">
        <v>0</v>
      </c>
      <c r="T214" s="8" t="n">
        <v>0</v>
      </c>
      <c r="U214" s="8" t="n">
        <v>0</v>
      </c>
      <c r="V214" s="8" t="n">
        <v>1</v>
      </c>
      <c r="W214" s="8" t="n">
        <v>0</v>
      </c>
      <c r="X214" s="8" t="n">
        <v>0</v>
      </c>
      <c r="Y214" s="8" t="n">
        <v>0</v>
      </c>
      <c r="Z214" s="8" t="n">
        <v>0</v>
      </c>
      <c r="AA214" s="8" t="n">
        <v>0</v>
      </c>
      <c r="AB214" s="8" t="n">
        <v>0</v>
      </c>
      <c r="AC214" s="8" t="n">
        <v>0</v>
      </c>
      <c r="AD214" s="8" t="n">
        <v>0</v>
      </c>
    </row>
    <row r="215" customFormat="false" ht="15" hidden="false" customHeight="false" outlineLevel="0" collapsed="false">
      <c r="A215" s="38" t="s">
        <v>1792</v>
      </c>
      <c r="B215" s="8" t="s">
        <v>1793</v>
      </c>
      <c r="C215" s="39" t="n">
        <v>33700</v>
      </c>
      <c r="D215" s="40" t="n">
        <v>46309</v>
      </c>
      <c r="E215" s="8" t="n">
        <v>20</v>
      </c>
      <c r="F215" s="39" t="n">
        <v>10300</v>
      </c>
      <c r="G215" s="39" t="n">
        <v>102</v>
      </c>
      <c r="H215" s="39" t="n">
        <v>11</v>
      </c>
      <c r="I215" s="39" t="n">
        <v>34</v>
      </c>
      <c r="J215" s="39" t="n">
        <v>22</v>
      </c>
      <c r="K215" s="8" t="s">
        <v>1243</v>
      </c>
      <c r="L215" s="41" t="s">
        <v>1794</v>
      </c>
      <c r="M215" s="42" t="n">
        <f aca="false">IFERROR(I215/F215,0)</f>
        <v>0.00330097087378641</v>
      </c>
      <c r="N215" s="42" t="n">
        <f aca="false">IFERROR(J215/F215,0)</f>
        <v>0.00213592233009709</v>
      </c>
      <c r="O215" s="8" t="n">
        <v>1</v>
      </c>
      <c r="P215" s="8" t="n">
        <v>0</v>
      </c>
      <c r="Q215" s="8" t="n">
        <v>0</v>
      </c>
      <c r="R215" s="8" t="n">
        <v>0</v>
      </c>
      <c r="S215" s="8" t="n">
        <v>0</v>
      </c>
      <c r="T215" s="8" t="n">
        <v>0</v>
      </c>
      <c r="U215" s="8" t="n">
        <v>0</v>
      </c>
      <c r="V215" s="8" t="n">
        <v>0</v>
      </c>
      <c r="W215" s="8" t="n">
        <v>1</v>
      </c>
      <c r="X215" s="8" t="n">
        <v>0</v>
      </c>
      <c r="Y215" s="8" t="n">
        <v>0</v>
      </c>
      <c r="Z215" s="8" t="n">
        <v>0</v>
      </c>
      <c r="AA215" s="8" t="n">
        <v>0</v>
      </c>
      <c r="AB215" s="8" t="n">
        <v>0</v>
      </c>
      <c r="AC215" s="8" t="n">
        <v>0</v>
      </c>
      <c r="AD215" s="8" t="n">
        <v>0</v>
      </c>
    </row>
    <row r="216" customFormat="false" ht="15" hidden="false" customHeight="false" outlineLevel="0" collapsed="false">
      <c r="A216" s="38" t="s">
        <v>1795</v>
      </c>
      <c r="B216" s="8" t="s">
        <v>1796</v>
      </c>
      <c r="C216" s="39" t="n">
        <v>18800</v>
      </c>
      <c r="D216" s="40" t="n">
        <v>46315</v>
      </c>
      <c r="E216" s="8" t="n">
        <v>24</v>
      </c>
      <c r="F216" s="39" t="n">
        <v>10100</v>
      </c>
      <c r="G216" s="39" t="n">
        <v>196</v>
      </c>
      <c r="H216" s="39" t="n">
        <v>5</v>
      </c>
      <c r="I216" s="39" t="n">
        <v>22</v>
      </c>
      <c r="J216" s="39" t="n">
        <v>67</v>
      </c>
      <c r="K216" s="8" t="s">
        <v>1240</v>
      </c>
      <c r="L216" s="41" t="s">
        <v>1797</v>
      </c>
      <c r="M216" s="42" t="n">
        <f aca="false">IFERROR(I216/F216,0)</f>
        <v>0.00217821782178218</v>
      </c>
      <c r="N216" s="42" t="n">
        <f aca="false">IFERROR(J216/F216,0)</f>
        <v>0.00663366336633663</v>
      </c>
      <c r="O216" s="8" t="n">
        <v>0</v>
      </c>
      <c r="P216" s="8" t="n">
        <v>0</v>
      </c>
      <c r="Q216" s="8" t="n">
        <v>0</v>
      </c>
      <c r="R216" s="8" t="n">
        <v>0</v>
      </c>
      <c r="S216" s="8" t="n">
        <v>0</v>
      </c>
      <c r="T216" s="8" t="n">
        <v>0</v>
      </c>
      <c r="U216" s="8" t="n">
        <v>0</v>
      </c>
      <c r="V216" s="8" t="n">
        <v>0</v>
      </c>
      <c r="W216" s="8" t="n">
        <v>0</v>
      </c>
      <c r="X216" s="8" t="n">
        <v>0</v>
      </c>
      <c r="Y216" s="8" t="n">
        <v>0</v>
      </c>
      <c r="Z216" s="8" t="n">
        <v>0</v>
      </c>
      <c r="AA216" s="8" t="n">
        <v>0</v>
      </c>
      <c r="AB216" s="8" t="n">
        <v>0</v>
      </c>
      <c r="AC216" s="8" t="n">
        <v>0</v>
      </c>
      <c r="AD216" s="8" t="n">
        <v>0</v>
      </c>
    </row>
    <row r="217" customFormat="false" ht="15" hidden="false" customHeight="false" outlineLevel="0" collapsed="false">
      <c r="A217" s="38" t="s">
        <v>1798</v>
      </c>
      <c r="B217" s="8" t="s">
        <v>1799</v>
      </c>
      <c r="C217" s="39" t="n">
        <v>12500</v>
      </c>
      <c r="D217" s="40" t="n">
        <v>46051</v>
      </c>
      <c r="E217" s="8" t="n">
        <v>24</v>
      </c>
      <c r="F217" s="39" t="n">
        <v>9888</v>
      </c>
      <c r="G217" s="39" t="n">
        <v>161</v>
      </c>
      <c r="H217" s="39" t="n">
        <v>23</v>
      </c>
      <c r="I217" s="39" t="n">
        <v>26</v>
      </c>
      <c r="J217" s="39" t="n">
        <v>45</v>
      </c>
      <c r="K217" s="8" t="s">
        <v>1240</v>
      </c>
      <c r="L217" s="41" t="s">
        <v>1800</v>
      </c>
      <c r="M217" s="42" t="n">
        <f aca="false">IFERROR(I217/F217,0)</f>
        <v>0.0026294498381877</v>
      </c>
      <c r="N217" s="42" t="n">
        <f aca="false">IFERROR(J217/F217,0)</f>
        <v>0.00455097087378641</v>
      </c>
      <c r="O217" s="8" t="n">
        <v>0</v>
      </c>
      <c r="P217" s="8" t="n">
        <v>0</v>
      </c>
      <c r="Q217" s="8" t="n">
        <v>0</v>
      </c>
      <c r="R217" s="8" t="n">
        <v>0</v>
      </c>
      <c r="S217" s="8" t="n">
        <v>0</v>
      </c>
      <c r="T217" s="8" t="n">
        <v>1</v>
      </c>
      <c r="U217" s="8" t="n">
        <v>0</v>
      </c>
      <c r="V217" s="8" t="n">
        <v>0</v>
      </c>
      <c r="W217" s="8" t="n">
        <v>0</v>
      </c>
      <c r="X217" s="8" t="n">
        <v>0</v>
      </c>
      <c r="Y217" s="8" t="n">
        <v>0</v>
      </c>
      <c r="Z217" s="8" t="n">
        <v>0</v>
      </c>
      <c r="AA217" s="8" t="n">
        <v>0</v>
      </c>
      <c r="AB217" s="8" t="n">
        <v>0</v>
      </c>
      <c r="AC217" s="8" t="n">
        <v>0</v>
      </c>
      <c r="AD217" s="8" t="n">
        <v>0</v>
      </c>
    </row>
    <row r="218" customFormat="false" ht="15" hidden="false" customHeight="false" outlineLevel="0" collapsed="false">
      <c r="A218" s="38" t="s">
        <v>1801</v>
      </c>
      <c r="B218" s="8" t="s">
        <v>1802</v>
      </c>
      <c r="C218" s="39" t="n">
        <v>9172</v>
      </c>
      <c r="D218" s="40" t="n">
        <v>46284</v>
      </c>
      <c r="E218" s="8" t="n">
        <v>168</v>
      </c>
      <c r="F218" s="39" t="n">
        <v>9575</v>
      </c>
      <c r="G218" s="39" t="n">
        <v>317</v>
      </c>
      <c r="H218" s="39" t="n">
        <v>7</v>
      </c>
      <c r="I218" s="39" t="n">
        <v>75</v>
      </c>
      <c r="J218" s="39" t="n">
        <v>87</v>
      </c>
      <c r="K218" s="8" t="s">
        <v>1240</v>
      </c>
      <c r="L218" s="41" t="s">
        <v>1803</v>
      </c>
      <c r="M218" s="42" t="n">
        <f aca="false">IFERROR(I218/F218,0)</f>
        <v>0.00783289817232376</v>
      </c>
      <c r="N218" s="42" t="n">
        <f aca="false">IFERROR(J218/F218,0)</f>
        <v>0.00908616187989556</v>
      </c>
      <c r="O218" s="8" t="n">
        <v>0</v>
      </c>
      <c r="P218" s="8" t="n">
        <v>0</v>
      </c>
      <c r="Q218" s="8" t="n">
        <v>0</v>
      </c>
      <c r="R218" s="8" t="n">
        <v>0</v>
      </c>
      <c r="S218" s="8" t="n">
        <v>0</v>
      </c>
      <c r="T218" s="8" t="n">
        <v>0</v>
      </c>
      <c r="U218" s="8" t="n">
        <v>0</v>
      </c>
      <c r="V218" s="8" t="n">
        <v>0</v>
      </c>
      <c r="W218" s="8" t="n">
        <v>0</v>
      </c>
      <c r="X218" s="8" t="n">
        <v>1</v>
      </c>
      <c r="Y218" s="8" t="n">
        <v>0</v>
      </c>
      <c r="Z218" s="8" t="n">
        <v>0</v>
      </c>
      <c r="AA218" s="8" t="n">
        <v>0</v>
      </c>
      <c r="AB218" s="8" t="n">
        <v>0</v>
      </c>
      <c r="AC218" s="8" t="n">
        <v>0</v>
      </c>
      <c r="AD218" s="8" t="n">
        <v>0</v>
      </c>
    </row>
    <row r="219" customFormat="false" ht="15" hidden="false" customHeight="false" outlineLevel="0" collapsed="false">
      <c r="A219" s="38" t="s">
        <v>1804</v>
      </c>
      <c r="B219" s="8" t="s">
        <v>1656</v>
      </c>
      <c r="C219" s="39" t="n">
        <v>1081</v>
      </c>
      <c r="D219" s="40" t="n">
        <v>46313</v>
      </c>
      <c r="E219" s="8" t="n">
        <v>29</v>
      </c>
      <c r="F219" s="39" t="n">
        <v>9499</v>
      </c>
      <c r="G219" s="39" t="n">
        <v>165</v>
      </c>
      <c r="H219" s="39" t="n">
        <v>2</v>
      </c>
      <c r="I219" s="39" t="n">
        <v>79</v>
      </c>
      <c r="J219" s="39" t="n">
        <v>32</v>
      </c>
      <c r="K219" s="8" t="s">
        <v>1240</v>
      </c>
      <c r="L219" s="41"/>
      <c r="M219" s="42" t="n">
        <f aca="false">IFERROR(I219/F219,0)</f>
        <v>0.00831666491209601</v>
      </c>
      <c r="N219" s="42" t="n">
        <f aca="false">IFERROR(J219/F219,0)</f>
        <v>0.00336877566059585</v>
      </c>
      <c r="O219" s="8" t="n">
        <v>0</v>
      </c>
      <c r="P219" s="8" t="n">
        <v>1</v>
      </c>
      <c r="Q219" s="8" t="n">
        <v>0</v>
      </c>
      <c r="R219" s="8" t="n">
        <v>0</v>
      </c>
      <c r="S219" s="8" t="n">
        <v>0</v>
      </c>
      <c r="T219" s="8" t="n">
        <v>0</v>
      </c>
      <c r="U219" s="8" t="n">
        <v>0</v>
      </c>
      <c r="V219" s="8" t="n">
        <v>0</v>
      </c>
      <c r="W219" s="8" t="n">
        <v>0</v>
      </c>
      <c r="X219" s="8" t="n">
        <v>0</v>
      </c>
      <c r="Y219" s="8" t="n">
        <v>0</v>
      </c>
      <c r="Z219" s="8" t="n">
        <v>0</v>
      </c>
      <c r="AA219" s="8" t="n">
        <v>0</v>
      </c>
      <c r="AB219" s="8" t="n">
        <v>0</v>
      </c>
      <c r="AC219" s="8" t="n">
        <v>0</v>
      </c>
      <c r="AD219" s="8" t="n">
        <v>0</v>
      </c>
    </row>
    <row r="220" customFormat="false" ht="15" hidden="false" customHeight="false" outlineLevel="0" collapsed="false">
      <c r="A220" s="38" t="s">
        <v>1805</v>
      </c>
      <c r="B220" s="8" t="s">
        <v>1806</v>
      </c>
      <c r="C220" s="39" t="n">
        <v>49400</v>
      </c>
      <c r="D220" s="40" t="n">
        <v>45644</v>
      </c>
      <c r="E220" s="8" t="n">
        <v>135</v>
      </c>
      <c r="F220" s="39" t="n">
        <v>9303</v>
      </c>
      <c r="G220" s="39" t="n">
        <v>92</v>
      </c>
      <c r="H220" s="39" t="n">
        <v>2</v>
      </c>
      <c r="I220" s="39" t="n">
        <v>12</v>
      </c>
      <c r="J220" s="39" t="n">
        <v>16</v>
      </c>
      <c r="K220" s="8" t="s">
        <v>1243</v>
      </c>
      <c r="L220" s="41" t="s">
        <v>1807</v>
      </c>
      <c r="M220" s="42" t="n">
        <f aca="false">IFERROR(I220/F220,0)</f>
        <v>0.00128990648178007</v>
      </c>
      <c r="N220" s="42" t="n">
        <f aca="false">IFERROR(J220/F220,0)</f>
        <v>0.00171987530904009</v>
      </c>
      <c r="O220" s="8" t="n">
        <v>0</v>
      </c>
      <c r="P220" s="8" t="n">
        <v>0</v>
      </c>
      <c r="Q220" s="8" t="n">
        <v>0</v>
      </c>
      <c r="R220" s="8" t="n">
        <v>0</v>
      </c>
      <c r="S220" s="8" t="n">
        <v>0</v>
      </c>
      <c r="T220" s="8" t="n">
        <v>0</v>
      </c>
      <c r="U220" s="8" t="n">
        <v>0</v>
      </c>
      <c r="V220" s="8" t="n">
        <v>0</v>
      </c>
      <c r="W220" s="8" t="n">
        <v>0</v>
      </c>
      <c r="X220" s="8" t="n">
        <v>0</v>
      </c>
      <c r="Y220" s="8" t="n">
        <v>0</v>
      </c>
      <c r="Z220" s="8" t="n">
        <v>0</v>
      </c>
      <c r="AA220" s="8" t="n">
        <v>0</v>
      </c>
      <c r="AB220" s="8" t="n">
        <v>1</v>
      </c>
      <c r="AC220" s="8" t="n">
        <v>0</v>
      </c>
      <c r="AD220" s="8" t="n">
        <v>0</v>
      </c>
    </row>
    <row r="221" customFormat="false" ht="15" hidden="false" customHeight="false" outlineLevel="0" collapsed="false">
      <c r="A221" s="38" t="s">
        <v>1808</v>
      </c>
      <c r="B221" s="8" t="s">
        <v>1330</v>
      </c>
      <c r="C221" s="39" t="n">
        <v>547900</v>
      </c>
      <c r="D221" s="40" t="n">
        <v>46314</v>
      </c>
      <c r="E221" s="8" t="n">
        <v>110</v>
      </c>
      <c r="F221" s="39" t="n">
        <v>8943</v>
      </c>
      <c r="G221" s="39" t="n">
        <v>442</v>
      </c>
      <c r="H221" s="39" t="n">
        <v>15</v>
      </c>
      <c r="I221" s="39" t="n">
        <v>1</v>
      </c>
      <c r="J221" s="39" t="n">
        <v>41</v>
      </c>
      <c r="K221" s="8" t="s">
        <v>1240</v>
      </c>
      <c r="L221" s="41" t="s">
        <v>1809</v>
      </c>
      <c r="M221" s="42" t="n">
        <f aca="false">IFERROR(I221/F221,0)</f>
        <v>0.000111819300011182</v>
      </c>
      <c r="N221" s="42" t="n">
        <f aca="false">IFERROR(J221/F221,0)</f>
        <v>0.00458459130045846</v>
      </c>
      <c r="O221" s="8" t="n">
        <v>0</v>
      </c>
      <c r="P221" s="8" t="n">
        <v>0</v>
      </c>
      <c r="Q221" s="8" t="n">
        <v>0</v>
      </c>
      <c r="R221" s="8" t="n">
        <v>0</v>
      </c>
      <c r="S221" s="8" t="n">
        <v>0</v>
      </c>
      <c r="T221" s="8" t="n">
        <v>0</v>
      </c>
      <c r="U221" s="8" t="n">
        <v>0</v>
      </c>
      <c r="V221" s="8" t="n">
        <v>0</v>
      </c>
      <c r="W221" s="8" t="n">
        <v>0</v>
      </c>
      <c r="X221" s="8" t="n">
        <v>0</v>
      </c>
      <c r="Y221" s="8" t="n">
        <v>0</v>
      </c>
      <c r="Z221" s="8" t="n">
        <v>0</v>
      </c>
      <c r="AA221" s="8" t="n">
        <v>0</v>
      </c>
      <c r="AB221" s="8" t="n">
        <v>0</v>
      </c>
      <c r="AC221" s="8" t="n">
        <v>0</v>
      </c>
      <c r="AD221" s="8" t="n">
        <v>0</v>
      </c>
    </row>
    <row r="222" customFormat="false" ht="15" hidden="false" customHeight="false" outlineLevel="0" collapsed="false">
      <c r="A222" s="38" t="s">
        <v>1810</v>
      </c>
      <c r="B222" s="8" t="s">
        <v>1811</v>
      </c>
      <c r="C222" s="39" t="n">
        <v>7262</v>
      </c>
      <c r="D222" s="40" t="n">
        <v>46263</v>
      </c>
      <c r="E222" s="8" t="n">
        <v>83</v>
      </c>
      <c r="F222" s="39" t="n">
        <v>8713</v>
      </c>
      <c r="G222" s="39" t="n">
        <v>107</v>
      </c>
      <c r="H222" s="39" t="n">
        <v>2</v>
      </c>
      <c r="I222" s="39" t="n">
        <v>86</v>
      </c>
      <c r="J222" s="39" t="n">
        <v>86</v>
      </c>
      <c r="K222" s="8" t="s">
        <v>1240</v>
      </c>
      <c r="L222" s="41" t="s">
        <v>1812</v>
      </c>
      <c r="M222" s="42" t="n">
        <f aca="false">IFERROR(I222/F222,0)</f>
        <v>0.00987030873407552</v>
      </c>
      <c r="N222" s="42" t="n">
        <f aca="false">IFERROR(J222/F222,0)</f>
        <v>0.00987030873407552</v>
      </c>
      <c r="O222" s="8" t="n">
        <v>0</v>
      </c>
      <c r="P222" s="8" t="n">
        <v>1</v>
      </c>
      <c r="Q222" s="8" t="n">
        <v>0</v>
      </c>
      <c r="R222" s="8" t="n">
        <v>0</v>
      </c>
      <c r="S222" s="8" t="n">
        <v>0</v>
      </c>
      <c r="T222" s="8" t="n">
        <v>1</v>
      </c>
      <c r="U222" s="8" t="n">
        <v>0</v>
      </c>
      <c r="V222" s="8" t="n">
        <v>0</v>
      </c>
      <c r="W222" s="8" t="n">
        <v>0</v>
      </c>
      <c r="X222" s="8" t="n">
        <v>0</v>
      </c>
      <c r="Y222" s="8" t="n">
        <v>0</v>
      </c>
      <c r="Z222" s="8" t="n">
        <v>0</v>
      </c>
      <c r="AA222" s="8" t="n">
        <v>0</v>
      </c>
      <c r="AB222" s="8" t="n">
        <v>0</v>
      </c>
      <c r="AC222" s="8" t="n">
        <v>0</v>
      </c>
      <c r="AD222" s="8" t="n">
        <v>0</v>
      </c>
    </row>
    <row r="223" customFormat="false" ht="15" hidden="false" customHeight="false" outlineLevel="0" collapsed="false">
      <c r="A223" s="38" t="s">
        <v>1813</v>
      </c>
      <c r="B223" s="8" t="s">
        <v>1814</v>
      </c>
      <c r="C223" s="39" t="n">
        <v>1147</v>
      </c>
      <c r="D223" s="40" t="n">
        <v>46228</v>
      </c>
      <c r="E223" s="8" t="n">
        <v>20</v>
      </c>
      <c r="F223" s="39" t="n">
        <v>8424</v>
      </c>
      <c r="G223" s="39" t="n">
        <v>447</v>
      </c>
      <c r="H223" s="39" t="n">
        <v>4</v>
      </c>
      <c r="I223" s="39" t="n">
        <v>12</v>
      </c>
      <c r="J223" s="39" t="n">
        <v>38</v>
      </c>
      <c r="K223" s="8" t="s">
        <v>1240</v>
      </c>
      <c r="L223" s="41" t="s">
        <v>1815</v>
      </c>
      <c r="M223" s="42" t="n">
        <f aca="false">IFERROR(I223/F223,0)</f>
        <v>0.00142450142450142</v>
      </c>
      <c r="N223" s="42" t="n">
        <f aca="false">IFERROR(J223/F223,0)</f>
        <v>0.00451092117758784</v>
      </c>
      <c r="O223" s="8" t="n">
        <v>0</v>
      </c>
      <c r="P223" s="8" t="n">
        <v>0</v>
      </c>
      <c r="Q223" s="8" t="n">
        <v>0</v>
      </c>
      <c r="R223" s="8" t="n">
        <v>0</v>
      </c>
      <c r="S223" s="8" t="n">
        <v>0</v>
      </c>
      <c r="T223" s="8" t="n">
        <v>0</v>
      </c>
      <c r="U223" s="8" t="n">
        <v>0</v>
      </c>
      <c r="V223" s="8" t="n">
        <v>0</v>
      </c>
      <c r="W223" s="8" t="n">
        <v>0</v>
      </c>
      <c r="X223" s="8" t="n">
        <v>1</v>
      </c>
      <c r="Y223" s="8" t="n">
        <v>0</v>
      </c>
      <c r="Z223" s="8" t="n">
        <v>0</v>
      </c>
      <c r="AA223" s="8" t="n">
        <v>0</v>
      </c>
      <c r="AB223" s="8" t="n">
        <v>0</v>
      </c>
      <c r="AC223" s="8" t="n">
        <v>0</v>
      </c>
      <c r="AD223" s="8" t="n">
        <v>0</v>
      </c>
    </row>
    <row r="224" customFormat="false" ht="15" hidden="false" customHeight="false" outlineLevel="0" collapsed="false">
      <c r="A224" s="38" t="s">
        <v>1816</v>
      </c>
      <c r="B224" s="8" t="s">
        <v>1817</v>
      </c>
      <c r="C224" s="39" t="n">
        <v>2282</v>
      </c>
      <c r="D224" s="40" t="n">
        <v>46085</v>
      </c>
      <c r="E224" s="8" t="n">
        <v>16</v>
      </c>
      <c r="F224" s="39" t="n">
        <v>8317</v>
      </c>
      <c r="G224" s="39" t="n">
        <v>130</v>
      </c>
      <c r="H224" s="39" t="n">
        <v>6</v>
      </c>
      <c r="I224" s="39" t="n">
        <v>17</v>
      </c>
      <c r="J224" s="39" t="n">
        <v>26</v>
      </c>
      <c r="K224" s="8" t="s">
        <v>1243</v>
      </c>
      <c r="L224" s="41" t="s">
        <v>1818</v>
      </c>
      <c r="M224" s="42" t="n">
        <f aca="false">IFERROR(I224/F224,0)</f>
        <v>0.00204400625225442</v>
      </c>
      <c r="N224" s="42" t="n">
        <f aca="false">IFERROR(J224/F224,0)</f>
        <v>0.00312612720933029</v>
      </c>
      <c r="O224" s="8" t="n">
        <v>1</v>
      </c>
      <c r="P224" s="8" t="n">
        <v>0</v>
      </c>
      <c r="Q224" s="8" t="n">
        <v>0</v>
      </c>
      <c r="R224" s="8" t="n">
        <v>0</v>
      </c>
      <c r="S224" s="8" t="n">
        <v>0</v>
      </c>
      <c r="T224" s="8" t="n">
        <v>0</v>
      </c>
      <c r="U224" s="8" t="n">
        <v>0</v>
      </c>
      <c r="V224" s="8" t="n">
        <v>0</v>
      </c>
      <c r="W224" s="8" t="n">
        <v>0</v>
      </c>
      <c r="X224" s="8" t="n">
        <v>0</v>
      </c>
      <c r="Y224" s="8" t="n">
        <v>0</v>
      </c>
      <c r="Z224" s="8" t="n">
        <v>0</v>
      </c>
      <c r="AA224" s="8" t="n">
        <v>1</v>
      </c>
      <c r="AB224" s="8" t="n">
        <v>0</v>
      </c>
      <c r="AC224" s="8" t="n">
        <v>0</v>
      </c>
      <c r="AD224" s="8" t="n">
        <v>0</v>
      </c>
    </row>
    <row r="225" customFormat="false" ht="15" hidden="false" customHeight="false" outlineLevel="0" collapsed="false">
      <c r="A225" s="38" t="s">
        <v>1819</v>
      </c>
      <c r="B225" s="8" t="s">
        <v>1294</v>
      </c>
      <c r="C225" s="39" t="n">
        <v>96700</v>
      </c>
      <c r="D225" s="40" t="n">
        <v>46001</v>
      </c>
      <c r="E225" s="8" t="n">
        <v>13</v>
      </c>
      <c r="F225" s="39" t="n">
        <v>8310</v>
      </c>
      <c r="G225" s="39" t="n">
        <v>125</v>
      </c>
      <c r="H225" s="39" t="n">
        <v>2</v>
      </c>
      <c r="I225" s="39" t="n">
        <v>4</v>
      </c>
      <c r="J225" s="39" t="n">
        <v>10</v>
      </c>
      <c r="K225" s="8" t="s">
        <v>1243</v>
      </c>
      <c r="L225" s="41" t="s">
        <v>1820</v>
      </c>
      <c r="M225" s="42" t="n">
        <f aca="false">IFERROR(I225/F225,0)</f>
        <v>0.000481347773766546</v>
      </c>
      <c r="N225" s="42" t="n">
        <f aca="false">IFERROR(J225/F225,0)</f>
        <v>0.00120336943441637</v>
      </c>
      <c r="O225" s="8" t="n">
        <v>0</v>
      </c>
      <c r="P225" s="8" t="n">
        <v>0</v>
      </c>
      <c r="Q225" s="8" t="n">
        <v>0</v>
      </c>
      <c r="R225" s="8" t="n">
        <v>0</v>
      </c>
      <c r="S225" s="8" t="n">
        <v>0</v>
      </c>
      <c r="T225" s="8" t="n">
        <v>0</v>
      </c>
      <c r="U225" s="8" t="n">
        <v>0</v>
      </c>
      <c r="V225" s="8" t="n">
        <v>0</v>
      </c>
      <c r="W225" s="8" t="n">
        <v>0</v>
      </c>
      <c r="X225" s="8" t="n">
        <v>0</v>
      </c>
      <c r="Y225" s="8" t="n">
        <v>0</v>
      </c>
      <c r="Z225" s="8" t="n">
        <v>0</v>
      </c>
      <c r="AA225" s="8" t="n">
        <v>0</v>
      </c>
      <c r="AB225" s="8" t="n">
        <v>0</v>
      </c>
      <c r="AC225" s="8" t="n">
        <v>0</v>
      </c>
      <c r="AD225" s="8" t="n">
        <v>0</v>
      </c>
    </row>
    <row r="226" customFormat="false" ht="15" hidden="false" customHeight="false" outlineLevel="0" collapsed="false">
      <c r="A226" s="38" t="s">
        <v>1821</v>
      </c>
      <c r="B226" s="8" t="s">
        <v>1822</v>
      </c>
      <c r="C226" s="39" t="n">
        <v>9134</v>
      </c>
      <c r="D226" s="40" t="n">
        <v>46210</v>
      </c>
      <c r="E226" s="8" t="n">
        <v>28</v>
      </c>
      <c r="F226" s="39" t="n">
        <v>8237</v>
      </c>
      <c r="G226" s="39" t="n">
        <v>164</v>
      </c>
      <c r="H226" s="39" t="n">
        <v>12</v>
      </c>
      <c r="I226" s="39" t="n">
        <v>54</v>
      </c>
      <c r="J226" s="39" t="n">
        <v>120</v>
      </c>
      <c r="K226" s="8" t="s">
        <v>1240</v>
      </c>
      <c r="L226" s="41" t="s">
        <v>1823</v>
      </c>
      <c r="M226" s="42" t="n">
        <f aca="false">IFERROR(I226/F226,0)</f>
        <v>0.00655578487313342</v>
      </c>
      <c r="N226" s="42" t="n">
        <f aca="false">IFERROR(J226/F226,0)</f>
        <v>0.0145684108291854</v>
      </c>
      <c r="O226" s="8" t="n">
        <v>0</v>
      </c>
      <c r="P226" s="8" t="n">
        <v>0</v>
      </c>
      <c r="Q226" s="8" t="n">
        <v>1</v>
      </c>
      <c r="R226" s="8" t="n">
        <v>1</v>
      </c>
      <c r="S226" s="8" t="n">
        <v>0</v>
      </c>
      <c r="T226" s="8" t="n">
        <v>1</v>
      </c>
      <c r="U226" s="8" t="n">
        <v>1</v>
      </c>
      <c r="V226" s="8" t="n">
        <v>0</v>
      </c>
      <c r="W226" s="8" t="n">
        <v>0</v>
      </c>
      <c r="X226" s="8" t="n">
        <v>1</v>
      </c>
      <c r="Y226" s="8" t="n">
        <v>0</v>
      </c>
      <c r="Z226" s="8" t="n">
        <v>0</v>
      </c>
      <c r="AA226" s="8" t="n">
        <v>0</v>
      </c>
      <c r="AB226" s="8" t="n">
        <v>0</v>
      </c>
      <c r="AC226" s="8" t="n">
        <v>0</v>
      </c>
      <c r="AD226" s="8" t="n">
        <v>1</v>
      </c>
    </row>
    <row r="227" customFormat="false" ht="15" hidden="false" customHeight="false" outlineLevel="0" collapsed="false">
      <c r="A227" s="38" t="s">
        <v>1824</v>
      </c>
      <c r="B227" s="8" t="s">
        <v>1825</v>
      </c>
      <c r="C227" s="39" t="n">
        <v>50</v>
      </c>
      <c r="D227" s="40" t="n">
        <v>44966</v>
      </c>
      <c r="E227" s="8" t="n">
        <v>47</v>
      </c>
      <c r="F227" s="39" t="n">
        <v>8198</v>
      </c>
      <c r="G227" s="39" t="n">
        <v>76</v>
      </c>
      <c r="H227" s="39" t="n">
        <v>3</v>
      </c>
      <c r="I227" s="39" t="n">
        <v>39</v>
      </c>
      <c r="J227" s="39" t="n">
        <v>15</v>
      </c>
      <c r="K227" s="8" t="s">
        <v>1240</v>
      </c>
      <c r="L227" s="41" t="s">
        <v>1826</v>
      </c>
      <c r="M227" s="42" t="n">
        <f aca="false">IFERROR(I227/F227,0)</f>
        <v>0.00475725786777263</v>
      </c>
      <c r="N227" s="42" t="n">
        <f aca="false">IFERROR(J227/F227,0)</f>
        <v>0.00182971456452793</v>
      </c>
      <c r="O227" s="8" t="n">
        <v>0</v>
      </c>
      <c r="P227" s="8" t="n">
        <v>0</v>
      </c>
      <c r="Q227" s="8" t="n">
        <v>0</v>
      </c>
      <c r="R227" s="8" t="n">
        <v>0</v>
      </c>
      <c r="S227" s="8" t="n">
        <v>0</v>
      </c>
      <c r="T227" s="8" t="n">
        <v>0</v>
      </c>
      <c r="U227" s="8" t="n">
        <v>0</v>
      </c>
      <c r="V227" s="8" t="n">
        <v>0</v>
      </c>
      <c r="W227" s="8" t="n">
        <v>0</v>
      </c>
      <c r="X227" s="8" t="n">
        <v>0</v>
      </c>
      <c r="Y227" s="8" t="n">
        <v>0</v>
      </c>
      <c r="Z227" s="8" t="n">
        <v>0</v>
      </c>
      <c r="AA227" s="8" t="n">
        <v>0</v>
      </c>
      <c r="AB227" s="8" t="n">
        <v>0</v>
      </c>
      <c r="AC227" s="8" t="n">
        <v>0</v>
      </c>
      <c r="AD227" s="8" t="n">
        <v>0</v>
      </c>
    </row>
    <row r="228" customFormat="false" ht="15" hidden="false" customHeight="false" outlineLevel="0" collapsed="false">
      <c r="A228" s="38" t="s">
        <v>1827</v>
      </c>
      <c r="B228" s="8" t="s">
        <v>1828</v>
      </c>
      <c r="C228" s="39" t="n">
        <v>14900</v>
      </c>
      <c r="D228" s="40" t="n">
        <v>45984</v>
      </c>
      <c r="E228" s="8" t="n">
        <v>39</v>
      </c>
      <c r="F228" s="39" t="n">
        <v>8080</v>
      </c>
      <c r="G228" s="39" t="n">
        <v>129</v>
      </c>
      <c r="H228" s="39" t="n">
        <v>8</v>
      </c>
      <c r="I228" s="39" t="n">
        <v>11</v>
      </c>
      <c r="J228" s="39" t="n">
        <v>10</v>
      </c>
      <c r="K228" s="8" t="s">
        <v>1240</v>
      </c>
      <c r="L228" s="41" t="s">
        <v>1829</v>
      </c>
      <c r="M228" s="42" t="n">
        <f aca="false">IFERROR(I228/F228,0)</f>
        <v>0.00136138613861386</v>
      </c>
      <c r="N228" s="42" t="n">
        <f aca="false">IFERROR(J228/F228,0)</f>
        <v>0.00123762376237624</v>
      </c>
      <c r="O228" s="8" t="n">
        <v>1</v>
      </c>
      <c r="P228" s="8" t="n">
        <v>0</v>
      </c>
      <c r="Q228" s="8" t="n">
        <v>0</v>
      </c>
      <c r="R228" s="8" t="n">
        <v>0</v>
      </c>
      <c r="S228" s="8" t="n">
        <v>0</v>
      </c>
      <c r="T228" s="8" t="n">
        <v>1</v>
      </c>
      <c r="U228" s="8" t="n">
        <v>0</v>
      </c>
      <c r="V228" s="8" t="n">
        <v>0</v>
      </c>
      <c r="W228" s="8" t="n">
        <v>1</v>
      </c>
      <c r="X228" s="8" t="n">
        <v>0</v>
      </c>
      <c r="Y228" s="8" t="n">
        <v>0</v>
      </c>
      <c r="Z228" s="8" t="n">
        <v>0</v>
      </c>
      <c r="AA228" s="8" t="n">
        <v>0</v>
      </c>
      <c r="AB228" s="8" t="n">
        <v>0</v>
      </c>
      <c r="AC228" s="8" t="n">
        <v>0</v>
      </c>
      <c r="AD228" s="8" t="n">
        <v>0</v>
      </c>
    </row>
    <row r="229" customFormat="false" ht="15" hidden="false" customHeight="false" outlineLevel="0" collapsed="false">
      <c r="A229" s="38" t="s">
        <v>1830</v>
      </c>
      <c r="B229" s="8" t="s">
        <v>1831</v>
      </c>
      <c r="C229" s="39" t="n">
        <v>345</v>
      </c>
      <c r="D229" s="40" t="n">
        <v>46176</v>
      </c>
      <c r="E229" s="8" t="n">
        <v>8</v>
      </c>
      <c r="F229" s="39" t="n">
        <v>8030</v>
      </c>
      <c r="G229" s="39" t="n">
        <v>50</v>
      </c>
      <c r="H229" s="39" t="n">
        <v>4</v>
      </c>
      <c r="I229" s="39" t="n">
        <v>21</v>
      </c>
      <c r="J229" s="39" t="n">
        <v>40</v>
      </c>
      <c r="K229" s="8" t="s">
        <v>1240</v>
      </c>
      <c r="L229" s="41" t="s">
        <v>1832</v>
      </c>
      <c r="M229" s="42" t="n">
        <f aca="false">IFERROR(I229/F229,0)</f>
        <v>0.00261519302615193</v>
      </c>
      <c r="N229" s="42" t="n">
        <f aca="false">IFERROR(J229/F229,0)</f>
        <v>0.0049813200498132</v>
      </c>
      <c r="O229" s="8" t="n">
        <v>0</v>
      </c>
      <c r="P229" s="8" t="n">
        <v>0</v>
      </c>
      <c r="Q229" s="8" t="n">
        <v>0</v>
      </c>
      <c r="R229" s="8" t="n">
        <v>0</v>
      </c>
      <c r="S229" s="8" t="n">
        <v>0</v>
      </c>
      <c r="T229" s="8" t="n">
        <v>0</v>
      </c>
      <c r="U229" s="8" t="n">
        <v>1</v>
      </c>
      <c r="V229" s="8" t="n">
        <v>1</v>
      </c>
      <c r="W229" s="8" t="n">
        <v>0</v>
      </c>
      <c r="X229" s="8" t="n">
        <v>0</v>
      </c>
      <c r="Y229" s="8" t="n">
        <v>0</v>
      </c>
      <c r="Z229" s="8" t="n">
        <v>0</v>
      </c>
      <c r="AA229" s="8" t="n">
        <v>0</v>
      </c>
      <c r="AB229" s="8" t="n">
        <v>0</v>
      </c>
      <c r="AC229" s="8" t="n">
        <v>0</v>
      </c>
      <c r="AD229" s="8" t="n">
        <v>1</v>
      </c>
    </row>
    <row r="230" customFormat="false" ht="15" hidden="false" customHeight="false" outlineLevel="0" collapsed="false">
      <c r="A230" s="38" t="s">
        <v>1833</v>
      </c>
      <c r="B230" s="8" t="s">
        <v>1834</v>
      </c>
      <c r="C230" s="39" t="n">
        <v>29800</v>
      </c>
      <c r="D230" s="40" t="n">
        <v>45997</v>
      </c>
      <c r="E230" s="8" t="n">
        <v>9</v>
      </c>
      <c r="F230" s="39" t="n">
        <v>8022</v>
      </c>
      <c r="G230" s="39" t="n">
        <v>139</v>
      </c>
      <c r="H230" s="39" t="n">
        <v>16</v>
      </c>
      <c r="I230" s="39" t="n">
        <v>20</v>
      </c>
      <c r="J230" s="39" t="n">
        <v>35</v>
      </c>
      <c r="K230" s="8" t="s">
        <v>1240</v>
      </c>
      <c r="L230" s="41" t="s">
        <v>1835</v>
      </c>
      <c r="M230" s="42" t="n">
        <f aca="false">IFERROR(I230/F230,0)</f>
        <v>0.0024931438544004</v>
      </c>
      <c r="N230" s="42" t="n">
        <f aca="false">IFERROR(J230/F230,0)</f>
        <v>0.0043630017452007</v>
      </c>
      <c r="O230" s="8" t="n">
        <v>0</v>
      </c>
      <c r="P230" s="8" t="n">
        <v>0</v>
      </c>
      <c r="Q230" s="8" t="n">
        <v>0</v>
      </c>
      <c r="R230" s="8" t="n">
        <v>1</v>
      </c>
      <c r="S230" s="8" t="n">
        <v>0</v>
      </c>
      <c r="T230" s="8" t="n">
        <v>0</v>
      </c>
      <c r="U230" s="8" t="n">
        <v>0</v>
      </c>
      <c r="V230" s="8" t="n">
        <v>0</v>
      </c>
      <c r="W230" s="8" t="n">
        <v>0</v>
      </c>
      <c r="X230" s="8" t="n">
        <v>0</v>
      </c>
      <c r="Y230" s="8" t="n">
        <v>1</v>
      </c>
      <c r="Z230" s="8" t="n">
        <v>0</v>
      </c>
      <c r="AA230" s="8" t="n">
        <v>0</v>
      </c>
      <c r="AB230" s="8" t="n">
        <v>0</v>
      </c>
      <c r="AC230" s="8" t="n">
        <v>0</v>
      </c>
      <c r="AD230" s="8" t="n">
        <v>0</v>
      </c>
    </row>
    <row r="231" customFormat="false" ht="15" hidden="false" customHeight="false" outlineLevel="0" collapsed="false">
      <c r="A231" s="38" t="s">
        <v>1836</v>
      </c>
      <c r="B231" s="8" t="s">
        <v>1837</v>
      </c>
      <c r="C231" s="39" t="n">
        <v>21500</v>
      </c>
      <c r="D231" s="40" t="n">
        <v>46312</v>
      </c>
      <c r="E231" s="8" t="n">
        <v>19</v>
      </c>
      <c r="F231" s="39" t="n">
        <v>7979</v>
      </c>
      <c r="G231" s="39" t="n">
        <v>142</v>
      </c>
      <c r="H231" s="39" t="n">
        <v>2</v>
      </c>
      <c r="I231" s="39" t="n">
        <v>4</v>
      </c>
      <c r="J231" s="39" t="n">
        <v>14</v>
      </c>
      <c r="K231" s="8" t="s">
        <v>1240</v>
      </c>
      <c r="L231" s="41"/>
      <c r="M231" s="42" t="n">
        <f aca="false">IFERROR(I231/F231,0)</f>
        <v>0.000501315954380248</v>
      </c>
      <c r="N231" s="42" t="n">
        <f aca="false">IFERROR(J231/F231,0)</f>
        <v>0.00175460584033087</v>
      </c>
      <c r="O231" s="8" t="n">
        <v>0</v>
      </c>
      <c r="P231" s="8" t="n">
        <v>1</v>
      </c>
      <c r="Q231" s="8" t="n">
        <v>0</v>
      </c>
      <c r="R231" s="8" t="n">
        <v>0</v>
      </c>
      <c r="S231" s="8" t="n">
        <v>0</v>
      </c>
      <c r="T231" s="8" t="n">
        <v>0</v>
      </c>
      <c r="U231" s="8" t="n">
        <v>0</v>
      </c>
      <c r="V231" s="8" t="n">
        <v>0</v>
      </c>
      <c r="W231" s="8" t="n">
        <v>0</v>
      </c>
      <c r="X231" s="8" t="n">
        <v>0</v>
      </c>
      <c r="Y231" s="8" t="n">
        <v>0</v>
      </c>
      <c r="Z231" s="8" t="n">
        <v>0</v>
      </c>
      <c r="AA231" s="8" t="n">
        <v>0</v>
      </c>
      <c r="AB231" s="8" t="n">
        <v>0</v>
      </c>
      <c r="AC231" s="8" t="n">
        <v>0</v>
      </c>
      <c r="AD231" s="8" t="n">
        <v>0</v>
      </c>
    </row>
    <row r="232" customFormat="false" ht="15" hidden="false" customHeight="false" outlineLevel="0" collapsed="false">
      <c r="A232" s="38" t="s">
        <v>1838</v>
      </c>
      <c r="B232" s="8" t="s">
        <v>1353</v>
      </c>
      <c r="C232" s="39" t="n">
        <v>12900</v>
      </c>
      <c r="D232" s="40" t="n">
        <v>45710</v>
      </c>
      <c r="E232" s="8" t="n">
        <v>61</v>
      </c>
      <c r="F232" s="39" t="n">
        <v>7898</v>
      </c>
      <c r="G232" s="39" t="n">
        <v>102</v>
      </c>
      <c r="H232" s="39" t="n">
        <v>9</v>
      </c>
      <c r="I232" s="39" t="n">
        <v>41</v>
      </c>
      <c r="J232" s="39" t="n">
        <v>19</v>
      </c>
      <c r="K232" s="8" t="s">
        <v>1243</v>
      </c>
      <c r="L232" s="41" t="s">
        <v>1698</v>
      </c>
      <c r="M232" s="42" t="n">
        <f aca="false">IFERROR(I232/F232,0)</f>
        <v>0.00519118764244112</v>
      </c>
      <c r="N232" s="42" t="n">
        <f aca="false">IFERROR(J232/F232,0)</f>
        <v>0.00240567232210686</v>
      </c>
      <c r="O232" s="8" t="n">
        <v>0</v>
      </c>
      <c r="P232" s="8" t="n">
        <v>1</v>
      </c>
      <c r="Q232" s="8" t="n">
        <v>0</v>
      </c>
      <c r="R232" s="8" t="n">
        <v>0</v>
      </c>
      <c r="S232" s="8" t="n">
        <v>0</v>
      </c>
      <c r="T232" s="8" t="n">
        <v>0</v>
      </c>
      <c r="U232" s="8" t="n">
        <v>0</v>
      </c>
      <c r="V232" s="8" t="n">
        <v>0</v>
      </c>
      <c r="W232" s="8" t="n">
        <v>0</v>
      </c>
      <c r="X232" s="8" t="n">
        <v>0</v>
      </c>
      <c r="Y232" s="8" t="n">
        <v>1</v>
      </c>
      <c r="Z232" s="8" t="n">
        <v>0</v>
      </c>
      <c r="AA232" s="8" t="n">
        <v>0</v>
      </c>
      <c r="AB232" s="8" t="n">
        <v>0</v>
      </c>
      <c r="AC232" s="8" t="n">
        <v>0</v>
      </c>
      <c r="AD232" s="8" t="n">
        <v>0</v>
      </c>
    </row>
    <row r="233" customFormat="false" ht="15" hidden="false" customHeight="false" outlineLevel="0" collapsed="false">
      <c r="A233" s="38" t="s">
        <v>1839</v>
      </c>
      <c r="B233" s="8" t="s">
        <v>1840</v>
      </c>
      <c r="C233" s="39" t="n">
        <v>68300</v>
      </c>
      <c r="D233" s="40" t="n">
        <v>45803</v>
      </c>
      <c r="E233" s="8" t="n">
        <v>56</v>
      </c>
      <c r="F233" s="39" t="n">
        <v>7876</v>
      </c>
      <c r="G233" s="39" t="n">
        <v>106</v>
      </c>
      <c r="H233" s="39" t="n">
        <v>4</v>
      </c>
      <c r="I233" s="39" t="n">
        <v>21</v>
      </c>
      <c r="J233" s="39" t="n">
        <v>26</v>
      </c>
      <c r="K233" s="8" t="s">
        <v>1240</v>
      </c>
      <c r="L233" s="41" t="s">
        <v>1841</v>
      </c>
      <c r="M233" s="42" t="n">
        <f aca="false">IFERROR(I233/F233,0)</f>
        <v>0.0026663280853225</v>
      </c>
      <c r="N233" s="42" t="n">
        <f aca="false">IFERROR(J233/F233,0)</f>
        <v>0.00330116810563738</v>
      </c>
      <c r="O233" s="8" t="n">
        <v>0</v>
      </c>
      <c r="P233" s="8" t="n">
        <v>0</v>
      </c>
      <c r="Q233" s="8" t="n">
        <v>0</v>
      </c>
      <c r="R233" s="8" t="n">
        <v>0</v>
      </c>
      <c r="S233" s="8" t="n">
        <v>0</v>
      </c>
      <c r="T233" s="8" t="n">
        <v>1</v>
      </c>
      <c r="U233" s="8" t="n">
        <v>0</v>
      </c>
      <c r="V233" s="8" t="n">
        <v>0</v>
      </c>
      <c r="W233" s="8" t="n">
        <v>0</v>
      </c>
      <c r="X233" s="8" t="n">
        <v>0</v>
      </c>
      <c r="Y233" s="8" t="n">
        <v>0</v>
      </c>
      <c r="Z233" s="8" t="n">
        <v>0</v>
      </c>
      <c r="AA233" s="8" t="n">
        <v>0</v>
      </c>
      <c r="AB233" s="8" t="n">
        <v>0</v>
      </c>
      <c r="AC233" s="8" t="n">
        <v>0</v>
      </c>
      <c r="AD233" s="8" t="n">
        <v>0</v>
      </c>
    </row>
    <row r="234" customFormat="false" ht="15" hidden="false" customHeight="false" outlineLevel="0" collapsed="false">
      <c r="A234" s="38" t="s">
        <v>1842</v>
      </c>
      <c r="B234" s="8" t="s">
        <v>1843</v>
      </c>
      <c r="C234" s="39" t="n">
        <v>4381</v>
      </c>
      <c r="D234" s="40" t="n">
        <v>46194</v>
      </c>
      <c r="E234" s="8" t="n">
        <v>65</v>
      </c>
      <c r="F234" s="39" t="n">
        <v>7543</v>
      </c>
      <c r="G234" s="39" t="n">
        <v>117</v>
      </c>
      <c r="H234" s="39" t="n">
        <v>17</v>
      </c>
      <c r="I234" s="39" t="n">
        <v>9</v>
      </c>
      <c r="J234" s="39" t="n">
        <v>24</v>
      </c>
      <c r="K234" s="8" t="s">
        <v>1240</v>
      </c>
      <c r="L234" s="41" t="s">
        <v>1844</v>
      </c>
      <c r="M234" s="42" t="n">
        <f aca="false">IFERROR(I234/F234,0)</f>
        <v>0.00119315922046931</v>
      </c>
      <c r="N234" s="42" t="n">
        <f aca="false">IFERROR(J234/F234,0)</f>
        <v>0.00318175792125149</v>
      </c>
      <c r="O234" s="8" t="n">
        <v>1</v>
      </c>
      <c r="P234" s="8" t="n">
        <v>1</v>
      </c>
      <c r="Q234" s="8" t="n">
        <v>0</v>
      </c>
      <c r="R234" s="8" t="n">
        <v>0</v>
      </c>
      <c r="S234" s="8" t="n">
        <v>0</v>
      </c>
      <c r="T234" s="8" t="n">
        <v>0</v>
      </c>
      <c r="U234" s="8" t="n">
        <v>0</v>
      </c>
      <c r="V234" s="8" t="n">
        <v>0</v>
      </c>
      <c r="W234" s="8" t="n">
        <v>0</v>
      </c>
      <c r="X234" s="8" t="n">
        <v>0</v>
      </c>
      <c r="Y234" s="8" t="n">
        <v>1</v>
      </c>
      <c r="Z234" s="8" t="n">
        <v>0</v>
      </c>
      <c r="AA234" s="8" t="n">
        <v>0</v>
      </c>
      <c r="AB234" s="8" t="n">
        <v>0</v>
      </c>
      <c r="AC234" s="8" t="n">
        <v>0</v>
      </c>
      <c r="AD234" s="8" t="n">
        <v>0</v>
      </c>
    </row>
    <row r="235" customFormat="false" ht="15" hidden="false" customHeight="false" outlineLevel="0" collapsed="false">
      <c r="A235" s="38" t="s">
        <v>1845</v>
      </c>
      <c r="B235" s="8" t="s">
        <v>1846</v>
      </c>
      <c r="C235" s="39" t="n">
        <v>752</v>
      </c>
      <c r="D235" s="40" t="n">
        <v>45926</v>
      </c>
      <c r="E235" s="8" t="n">
        <v>14</v>
      </c>
      <c r="F235" s="39" t="n">
        <v>7468</v>
      </c>
      <c r="G235" s="39" t="n">
        <v>80</v>
      </c>
      <c r="H235" s="39" t="n">
        <v>4</v>
      </c>
      <c r="I235" s="39" t="n">
        <v>13</v>
      </c>
      <c r="J235" s="39" t="n">
        <v>24</v>
      </c>
      <c r="K235" s="8" t="s">
        <v>1243</v>
      </c>
      <c r="L235" s="41" t="s">
        <v>1847</v>
      </c>
      <c r="M235" s="42" t="n">
        <f aca="false">IFERROR(I235/F235,0)</f>
        <v>0.00174076057846813</v>
      </c>
      <c r="N235" s="42" t="n">
        <f aca="false">IFERROR(J235/F235,0)</f>
        <v>0.00321371183717193</v>
      </c>
      <c r="O235" s="8" t="n">
        <v>1</v>
      </c>
      <c r="P235" s="8" t="n">
        <v>1</v>
      </c>
      <c r="Q235" s="8" t="n">
        <v>0</v>
      </c>
      <c r="R235" s="8" t="n">
        <v>1</v>
      </c>
      <c r="S235" s="8" t="n">
        <v>0</v>
      </c>
      <c r="T235" s="8" t="n">
        <v>0</v>
      </c>
      <c r="U235" s="8" t="n">
        <v>0</v>
      </c>
      <c r="V235" s="8" t="n">
        <v>0</v>
      </c>
      <c r="W235" s="8" t="n">
        <v>1</v>
      </c>
      <c r="X235" s="8" t="n">
        <v>1</v>
      </c>
      <c r="Y235" s="8" t="n">
        <v>0</v>
      </c>
      <c r="Z235" s="8" t="n">
        <v>0</v>
      </c>
      <c r="AA235" s="8" t="n">
        <v>0</v>
      </c>
      <c r="AB235" s="8" t="n">
        <v>0</v>
      </c>
      <c r="AC235" s="8" t="n">
        <v>0</v>
      </c>
      <c r="AD235" s="8" t="n">
        <v>0</v>
      </c>
    </row>
    <row r="236" customFormat="false" ht="15" hidden="false" customHeight="false" outlineLevel="0" collapsed="false">
      <c r="A236" s="38" t="s">
        <v>1848</v>
      </c>
      <c r="B236" s="8" t="s">
        <v>1672</v>
      </c>
      <c r="C236" s="39" t="n">
        <v>9764</v>
      </c>
      <c r="D236" s="40" t="n">
        <v>46193</v>
      </c>
      <c r="E236" s="8" t="n">
        <v>48</v>
      </c>
      <c r="F236" s="39" t="n">
        <v>7426</v>
      </c>
      <c r="G236" s="39" t="n">
        <v>424</v>
      </c>
      <c r="H236" s="39" t="n">
        <v>2</v>
      </c>
      <c r="I236" s="39" t="n">
        <v>67</v>
      </c>
      <c r="J236" s="39" t="n">
        <v>26</v>
      </c>
      <c r="K236" s="8" t="s">
        <v>1243</v>
      </c>
      <c r="L236" s="41" t="s">
        <v>1849</v>
      </c>
      <c r="M236" s="42" t="n">
        <f aca="false">IFERROR(I236/F236,0)</f>
        <v>0.00902235389173175</v>
      </c>
      <c r="N236" s="42" t="n">
        <f aca="false">IFERROR(J236/F236,0)</f>
        <v>0.00350121195798546</v>
      </c>
      <c r="O236" s="8" t="n">
        <v>1</v>
      </c>
      <c r="P236" s="8" t="n">
        <v>1</v>
      </c>
      <c r="Q236" s="8" t="n">
        <v>0</v>
      </c>
      <c r="R236" s="8" t="n">
        <v>0</v>
      </c>
      <c r="S236" s="8" t="n">
        <v>0</v>
      </c>
      <c r="T236" s="8" t="n">
        <v>0</v>
      </c>
      <c r="U236" s="8" t="n">
        <v>0</v>
      </c>
      <c r="V236" s="8" t="n">
        <v>0</v>
      </c>
      <c r="W236" s="8" t="n">
        <v>0</v>
      </c>
      <c r="X236" s="8" t="n">
        <v>0</v>
      </c>
      <c r="Y236" s="8" t="n">
        <v>0</v>
      </c>
      <c r="Z236" s="8" t="n">
        <v>0</v>
      </c>
      <c r="AA236" s="8" t="n">
        <v>0</v>
      </c>
      <c r="AB236" s="8" t="n">
        <v>0</v>
      </c>
      <c r="AC236" s="8" t="n">
        <v>0</v>
      </c>
      <c r="AD236" s="8" t="n">
        <v>0</v>
      </c>
    </row>
    <row r="237" customFormat="false" ht="15" hidden="false" customHeight="false" outlineLevel="0" collapsed="false">
      <c r="A237" s="38" t="s">
        <v>1850</v>
      </c>
      <c r="B237" s="8" t="s">
        <v>1851</v>
      </c>
      <c r="C237" s="39" t="n">
        <v>4090</v>
      </c>
      <c r="D237" s="40" t="n">
        <v>44546</v>
      </c>
      <c r="E237" s="8" t="n">
        <v>97</v>
      </c>
      <c r="F237" s="39" t="n">
        <v>7354</v>
      </c>
      <c r="G237" s="39" t="n">
        <v>240</v>
      </c>
      <c r="H237" s="39" t="n">
        <v>8</v>
      </c>
      <c r="I237" s="39" t="n">
        <v>33</v>
      </c>
      <c r="J237" s="39" t="n">
        <v>10</v>
      </c>
      <c r="K237" s="8" t="s">
        <v>1240</v>
      </c>
      <c r="L237" s="41" t="s">
        <v>1852</v>
      </c>
      <c r="M237" s="42" t="n">
        <f aca="false">IFERROR(I237/F237,0)</f>
        <v>0.00448735382104977</v>
      </c>
      <c r="N237" s="42" t="n">
        <f aca="false">IFERROR(J237/F237,0)</f>
        <v>0.0013598041881969</v>
      </c>
      <c r="O237" s="8" t="n">
        <v>0</v>
      </c>
      <c r="P237" s="8" t="n">
        <v>0</v>
      </c>
      <c r="Q237" s="8" t="n">
        <v>0</v>
      </c>
      <c r="R237" s="8" t="n">
        <v>0</v>
      </c>
      <c r="S237" s="8" t="n">
        <v>0</v>
      </c>
      <c r="T237" s="8" t="n">
        <v>1</v>
      </c>
      <c r="U237" s="8" t="n">
        <v>0</v>
      </c>
      <c r="V237" s="8" t="n">
        <v>0</v>
      </c>
      <c r="W237" s="8" t="n">
        <v>0</v>
      </c>
      <c r="X237" s="8" t="n">
        <v>1</v>
      </c>
      <c r="Y237" s="8" t="n">
        <v>0</v>
      </c>
      <c r="Z237" s="8" t="n">
        <v>0</v>
      </c>
      <c r="AA237" s="8" t="n">
        <v>0</v>
      </c>
      <c r="AB237" s="8" t="n">
        <v>0</v>
      </c>
      <c r="AC237" s="8" t="n">
        <v>0</v>
      </c>
      <c r="AD237" s="8" t="n">
        <v>0</v>
      </c>
    </row>
    <row r="238" customFormat="false" ht="15" hidden="false" customHeight="false" outlineLevel="0" collapsed="false">
      <c r="A238" s="38" t="s">
        <v>1853</v>
      </c>
      <c r="B238" s="8" t="s">
        <v>1271</v>
      </c>
      <c r="C238" s="39" t="n">
        <v>74500</v>
      </c>
      <c r="D238" s="40" t="n">
        <v>46066</v>
      </c>
      <c r="E238" s="8" t="n">
        <v>26</v>
      </c>
      <c r="F238" s="39" t="n">
        <v>7245</v>
      </c>
      <c r="G238" s="39" t="n">
        <v>58</v>
      </c>
      <c r="H238" s="39" t="n">
        <v>0</v>
      </c>
      <c r="I238" s="39" t="n">
        <v>15</v>
      </c>
      <c r="J238" s="39" t="n">
        <v>19</v>
      </c>
      <c r="K238" s="8" t="s">
        <v>1243</v>
      </c>
      <c r="L238" s="41" t="s">
        <v>1854</v>
      </c>
      <c r="M238" s="42" t="n">
        <f aca="false">IFERROR(I238/F238,0)</f>
        <v>0.0020703933747412</v>
      </c>
      <c r="N238" s="42" t="n">
        <f aca="false">IFERROR(J238/F238,0)</f>
        <v>0.00262249827467219</v>
      </c>
      <c r="O238" s="8" t="n">
        <v>0</v>
      </c>
      <c r="P238" s="8" t="n">
        <v>0</v>
      </c>
      <c r="Q238" s="8" t="n">
        <v>1</v>
      </c>
      <c r="R238" s="8" t="n">
        <v>0</v>
      </c>
      <c r="S238" s="8" t="n">
        <v>0</v>
      </c>
      <c r="T238" s="8" t="n">
        <v>0</v>
      </c>
      <c r="U238" s="8" t="n">
        <v>0</v>
      </c>
      <c r="V238" s="8" t="n">
        <v>0</v>
      </c>
      <c r="W238" s="8" t="n">
        <v>0</v>
      </c>
      <c r="X238" s="8" t="n">
        <v>0</v>
      </c>
      <c r="Y238" s="8" t="n">
        <v>0</v>
      </c>
      <c r="Z238" s="8" t="n">
        <v>1</v>
      </c>
      <c r="AA238" s="8" t="n">
        <v>0</v>
      </c>
      <c r="AB238" s="8" t="n">
        <v>0</v>
      </c>
      <c r="AC238" s="8" t="n">
        <v>0</v>
      </c>
      <c r="AD238" s="8" t="n">
        <v>0</v>
      </c>
    </row>
    <row r="239" customFormat="false" ht="15" hidden="false" customHeight="false" outlineLevel="0" collapsed="false">
      <c r="A239" s="38" t="s">
        <v>1855</v>
      </c>
      <c r="B239" s="8" t="s">
        <v>1353</v>
      </c>
      <c r="C239" s="39" t="n">
        <v>12900</v>
      </c>
      <c r="D239" s="40" t="n">
        <v>46291</v>
      </c>
      <c r="E239" s="8" t="n">
        <v>35</v>
      </c>
      <c r="F239" s="39" t="n">
        <v>7162</v>
      </c>
      <c r="G239" s="39" t="n">
        <v>355</v>
      </c>
      <c r="H239" s="39" t="n">
        <v>4</v>
      </c>
      <c r="I239" s="39" t="n">
        <v>31</v>
      </c>
      <c r="J239" s="39" t="n">
        <v>15</v>
      </c>
      <c r="K239" s="8" t="s">
        <v>1243</v>
      </c>
      <c r="L239" s="41" t="s">
        <v>1856</v>
      </c>
      <c r="M239" s="42" t="n">
        <f aca="false">IFERROR(I239/F239,0)</f>
        <v>0.00432839988829936</v>
      </c>
      <c r="N239" s="42" t="n">
        <f aca="false">IFERROR(J239/F239,0)</f>
        <v>0.0020943870427255</v>
      </c>
      <c r="O239" s="8" t="n">
        <v>0</v>
      </c>
      <c r="P239" s="8" t="n">
        <v>1</v>
      </c>
      <c r="Q239" s="8" t="n">
        <v>0</v>
      </c>
      <c r="R239" s="8" t="n">
        <v>1</v>
      </c>
      <c r="S239" s="8" t="n">
        <v>0</v>
      </c>
      <c r="T239" s="8" t="n">
        <v>0</v>
      </c>
      <c r="U239" s="8" t="n">
        <v>0</v>
      </c>
      <c r="V239" s="8" t="n">
        <v>0</v>
      </c>
      <c r="W239" s="8" t="n">
        <v>0</v>
      </c>
      <c r="X239" s="8" t="n">
        <v>0</v>
      </c>
      <c r="Y239" s="8" t="n">
        <v>1</v>
      </c>
      <c r="Z239" s="8" t="n">
        <v>0</v>
      </c>
      <c r="AA239" s="8" t="n">
        <v>0</v>
      </c>
      <c r="AB239" s="8" t="n">
        <v>0</v>
      </c>
      <c r="AC239" s="8" t="n">
        <v>0</v>
      </c>
      <c r="AD239" s="8" t="n">
        <v>0</v>
      </c>
    </row>
    <row r="240" customFormat="false" ht="15" hidden="false" customHeight="false" outlineLevel="0" collapsed="false">
      <c r="A240" s="38" t="s">
        <v>1857</v>
      </c>
      <c r="B240" s="8" t="s">
        <v>1296</v>
      </c>
      <c r="C240" s="39" t="n">
        <v>47400</v>
      </c>
      <c r="D240" s="40" t="n">
        <v>45073</v>
      </c>
      <c r="E240" s="8" t="n">
        <v>514</v>
      </c>
      <c r="F240" s="39" t="n">
        <v>7159</v>
      </c>
      <c r="G240" s="39" t="n">
        <v>45</v>
      </c>
      <c r="H240" s="39" t="n">
        <v>1</v>
      </c>
      <c r="I240" s="39" t="n">
        <v>7</v>
      </c>
      <c r="J240" s="39" t="n">
        <v>3</v>
      </c>
      <c r="K240" s="8" t="s">
        <v>1243</v>
      </c>
      <c r="L240" s="41" t="s">
        <v>1858</v>
      </c>
      <c r="M240" s="42" t="n">
        <f aca="false">IFERROR(I240/F240,0)</f>
        <v>0.000977790194161196</v>
      </c>
      <c r="N240" s="42" t="n">
        <f aca="false">IFERROR(J240/F240,0)</f>
        <v>0.000419052940354798</v>
      </c>
      <c r="O240" s="8" t="n">
        <v>1</v>
      </c>
      <c r="P240" s="8" t="n">
        <v>0</v>
      </c>
      <c r="Q240" s="8" t="n">
        <v>0</v>
      </c>
      <c r="R240" s="8" t="n">
        <v>1</v>
      </c>
      <c r="S240" s="8" t="n">
        <v>0</v>
      </c>
      <c r="T240" s="8" t="n">
        <v>0</v>
      </c>
      <c r="U240" s="8" t="n">
        <v>0</v>
      </c>
      <c r="V240" s="8" t="n">
        <v>0</v>
      </c>
      <c r="W240" s="8" t="n">
        <v>0</v>
      </c>
      <c r="X240" s="8" t="n">
        <v>0</v>
      </c>
      <c r="Y240" s="8" t="n">
        <v>0</v>
      </c>
      <c r="Z240" s="8" t="n">
        <v>0</v>
      </c>
      <c r="AA240" s="8" t="n">
        <v>0</v>
      </c>
      <c r="AB240" s="8" t="n">
        <v>0</v>
      </c>
      <c r="AC240" s="8" t="n">
        <v>0</v>
      </c>
      <c r="AD240" s="8" t="n">
        <v>0</v>
      </c>
    </row>
    <row r="241" customFormat="false" ht="15" hidden="false" customHeight="false" outlineLevel="0" collapsed="false">
      <c r="A241" s="38" t="s">
        <v>1859</v>
      </c>
      <c r="B241" s="8" t="s">
        <v>1860</v>
      </c>
      <c r="C241" s="39" t="n">
        <v>673</v>
      </c>
      <c r="D241" s="40" t="n">
        <v>45234</v>
      </c>
      <c r="E241" s="8" t="n">
        <v>32</v>
      </c>
      <c r="F241" s="39" t="n">
        <v>7052</v>
      </c>
      <c r="G241" s="39" t="n">
        <v>616</v>
      </c>
      <c r="H241" s="39" t="n">
        <v>114</v>
      </c>
      <c r="I241" s="39" t="n">
        <v>263</v>
      </c>
      <c r="J241" s="39" t="n">
        <v>13</v>
      </c>
      <c r="K241" s="8" t="s">
        <v>1243</v>
      </c>
      <c r="L241" s="41" t="s">
        <v>1861</v>
      </c>
      <c r="M241" s="42" t="n">
        <f aca="false">IFERROR(I241/F241,0)</f>
        <v>0.0372943845717527</v>
      </c>
      <c r="N241" s="42" t="n">
        <f aca="false">IFERROR(J241/F241,0)</f>
        <v>0.00184344866704481</v>
      </c>
      <c r="O241" s="8" t="n">
        <v>1</v>
      </c>
      <c r="P241" s="8" t="n">
        <v>0</v>
      </c>
      <c r="Q241" s="8" t="n">
        <v>1</v>
      </c>
      <c r="R241" s="8" t="n">
        <v>0</v>
      </c>
      <c r="S241" s="8" t="n">
        <v>0</v>
      </c>
      <c r="T241" s="8" t="n">
        <v>0</v>
      </c>
      <c r="U241" s="8" t="n">
        <v>0</v>
      </c>
      <c r="V241" s="8" t="n">
        <v>0</v>
      </c>
      <c r="W241" s="8" t="n">
        <v>0</v>
      </c>
      <c r="X241" s="8" t="n">
        <v>0</v>
      </c>
      <c r="Y241" s="8" t="n">
        <v>0</v>
      </c>
      <c r="Z241" s="8" t="n">
        <v>0</v>
      </c>
      <c r="AA241" s="8" t="n">
        <v>0</v>
      </c>
      <c r="AB241" s="8" t="n">
        <v>0</v>
      </c>
      <c r="AC241" s="8" t="n">
        <v>0</v>
      </c>
      <c r="AD241" s="8" t="n">
        <v>0</v>
      </c>
    </row>
    <row r="242" customFormat="false" ht="15" hidden="false" customHeight="false" outlineLevel="0" collapsed="false">
      <c r="A242" s="38" t="s">
        <v>1862</v>
      </c>
      <c r="B242" s="8" t="s">
        <v>1863</v>
      </c>
      <c r="C242" s="39" t="n">
        <v>27500</v>
      </c>
      <c r="D242" s="40" t="n">
        <v>46150</v>
      </c>
      <c r="E242" s="8" t="n">
        <v>14</v>
      </c>
      <c r="F242" s="39" t="n">
        <v>7038</v>
      </c>
      <c r="G242" s="39" t="n">
        <v>164</v>
      </c>
      <c r="H242" s="39" t="n">
        <v>9</v>
      </c>
      <c r="I242" s="39" t="n">
        <v>14</v>
      </c>
      <c r="J242" s="39" t="n">
        <v>29</v>
      </c>
      <c r="K242" s="8" t="s">
        <v>1240</v>
      </c>
      <c r="L242" s="41" t="s">
        <v>1864</v>
      </c>
      <c r="M242" s="42" t="n">
        <f aca="false">IFERROR(I242/F242,0)</f>
        <v>0.00198920147769253</v>
      </c>
      <c r="N242" s="42" t="n">
        <f aca="false">IFERROR(J242/F242,0)</f>
        <v>0.00412048877522023</v>
      </c>
      <c r="O242" s="8" t="n">
        <v>0</v>
      </c>
      <c r="P242" s="8" t="n">
        <v>0</v>
      </c>
      <c r="Q242" s="8" t="n">
        <v>0</v>
      </c>
      <c r="R242" s="8" t="n">
        <v>0</v>
      </c>
      <c r="S242" s="8" t="n">
        <v>0</v>
      </c>
      <c r="T242" s="8" t="n">
        <v>1</v>
      </c>
      <c r="U242" s="8" t="n">
        <v>0</v>
      </c>
      <c r="V242" s="8" t="n">
        <v>0</v>
      </c>
      <c r="W242" s="8" t="n">
        <v>0</v>
      </c>
      <c r="X242" s="8" t="n">
        <v>0</v>
      </c>
      <c r="Y242" s="8" t="n">
        <v>0</v>
      </c>
      <c r="Z242" s="8" t="n">
        <v>0</v>
      </c>
      <c r="AA242" s="8" t="n">
        <v>0</v>
      </c>
      <c r="AB242" s="8" t="n">
        <v>0</v>
      </c>
      <c r="AC242" s="8" t="n">
        <v>0</v>
      </c>
      <c r="AD242" s="8" t="n">
        <v>0</v>
      </c>
    </row>
    <row r="243" customFormat="false" ht="15" hidden="false" customHeight="false" outlineLevel="0" collapsed="false">
      <c r="A243" s="38" t="s">
        <v>1865</v>
      </c>
      <c r="B243" s="8" t="s">
        <v>1866</v>
      </c>
      <c r="C243" s="39" t="n">
        <v>2250</v>
      </c>
      <c r="D243" s="40" t="n">
        <v>44968</v>
      </c>
      <c r="E243" s="8" t="n">
        <v>16</v>
      </c>
      <c r="F243" s="39" t="n">
        <v>6833</v>
      </c>
      <c r="G243" s="39" t="n">
        <v>68</v>
      </c>
      <c r="H243" s="39" t="n">
        <v>0</v>
      </c>
      <c r="I243" s="39" t="n">
        <v>23</v>
      </c>
      <c r="J243" s="39" t="n">
        <v>11</v>
      </c>
      <c r="K243" s="8" t="s">
        <v>1243</v>
      </c>
      <c r="L243" s="41" t="s">
        <v>1867</v>
      </c>
      <c r="M243" s="42" t="n">
        <f aca="false">IFERROR(I243/F243,0)</f>
        <v>0.00336601785452949</v>
      </c>
      <c r="N243" s="42" t="n">
        <f aca="false">IFERROR(J243/F243,0)</f>
        <v>0.00160983462607932</v>
      </c>
      <c r="O243" s="8" t="n">
        <v>0</v>
      </c>
      <c r="P243" s="8" t="n">
        <v>0</v>
      </c>
      <c r="Q243" s="8" t="n">
        <v>0</v>
      </c>
      <c r="R243" s="8" t="n">
        <v>1</v>
      </c>
      <c r="S243" s="8" t="n">
        <v>0</v>
      </c>
      <c r="T243" s="8" t="n">
        <v>0</v>
      </c>
      <c r="U243" s="8" t="n">
        <v>0</v>
      </c>
      <c r="V243" s="8" t="n">
        <v>0</v>
      </c>
      <c r="W243" s="8" t="n">
        <v>0</v>
      </c>
      <c r="X243" s="8" t="n">
        <v>0</v>
      </c>
      <c r="Y243" s="8" t="n">
        <v>1</v>
      </c>
      <c r="Z243" s="8" t="n">
        <v>0</v>
      </c>
      <c r="AA243" s="8" t="n">
        <v>0</v>
      </c>
      <c r="AB243" s="8" t="n">
        <v>0</v>
      </c>
      <c r="AC243" s="8" t="n">
        <v>0</v>
      </c>
      <c r="AD243" s="8" t="n">
        <v>0</v>
      </c>
    </row>
    <row r="244" customFormat="false" ht="15" hidden="false" customHeight="false" outlineLevel="0" collapsed="false">
      <c r="A244" s="38" t="s">
        <v>1868</v>
      </c>
      <c r="B244" s="8" t="s">
        <v>1869</v>
      </c>
      <c r="C244" s="39" t="n">
        <v>3325</v>
      </c>
      <c r="D244" s="40" t="n">
        <v>46307</v>
      </c>
      <c r="E244" s="8" t="n">
        <v>52</v>
      </c>
      <c r="F244" s="39" t="n">
        <v>6749</v>
      </c>
      <c r="G244" s="39" t="n">
        <v>79</v>
      </c>
      <c r="H244" s="39" t="n">
        <v>9</v>
      </c>
      <c r="I244" s="39" t="n">
        <v>1</v>
      </c>
      <c r="J244" s="39" t="n">
        <v>5</v>
      </c>
      <c r="K244" s="8" t="s">
        <v>1240</v>
      </c>
      <c r="L244" s="41" t="s">
        <v>1870</v>
      </c>
      <c r="M244" s="42" t="n">
        <f aca="false">IFERROR(I244/F244,0)</f>
        <v>0.000148170099273967</v>
      </c>
      <c r="N244" s="42" t="n">
        <f aca="false">IFERROR(J244/F244,0)</f>
        <v>0.000740850496369833</v>
      </c>
      <c r="O244" s="8" t="n">
        <v>0</v>
      </c>
      <c r="P244" s="8" t="n">
        <v>0</v>
      </c>
      <c r="Q244" s="8" t="n">
        <v>0</v>
      </c>
      <c r="R244" s="8" t="n">
        <v>0</v>
      </c>
      <c r="S244" s="8" t="n">
        <v>0</v>
      </c>
      <c r="T244" s="8" t="n">
        <v>0</v>
      </c>
      <c r="U244" s="8" t="n">
        <v>0</v>
      </c>
      <c r="V244" s="8" t="n">
        <v>0</v>
      </c>
      <c r="W244" s="8" t="n">
        <v>1</v>
      </c>
      <c r="X244" s="8" t="n">
        <v>0</v>
      </c>
      <c r="Y244" s="8" t="n">
        <v>0</v>
      </c>
      <c r="Z244" s="8" t="n">
        <v>0</v>
      </c>
      <c r="AA244" s="8" t="n">
        <v>1</v>
      </c>
      <c r="AB244" s="8" t="n">
        <v>0</v>
      </c>
      <c r="AC244" s="8" t="n">
        <v>0</v>
      </c>
      <c r="AD244" s="8" t="n">
        <v>0</v>
      </c>
    </row>
    <row r="245" customFormat="false" ht="15" hidden="false" customHeight="false" outlineLevel="0" collapsed="false">
      <c r="A245" s="38" t="s">
        <v>1871</v>
      </c>
      <c r="B245" s="8" t="s">
        <v>1872</v>
      </c>
      <c r="C245" s="39" t="n">
        <v>1032</v>
      </c>
      <c r="D245" s="40" t="n">
        <v>45919</v>
      </c>
      <c r="E245" s="8" t="n">
        <v>26</v>
      </c>
      <c r="F245" s="39" t="n">
        <v>6673</v>
      </c>
      <c r="G245" s="39" t="n">
        <v>139</v>
      </c>
      <c r="H245" s="39" t="n">
        <v>11</v>
      </c>
      <c r="I245" s="39" t="n">
        <v>14</v>
      </c>
      <c r="J245" s="39" t="n">
        <v>13</v>
      </c>
      <c r="K245" s="8" t="s">
        <v>1240</v>
      </c>
      <c r="L245" s="41" t="s">
        <v>1873</v>
      </c>
      <c r="M245" s="42" t="n">
        <f aca="false">IFERROR(I245/F245,0)</f>
        <v>0.00209800689345122</v>
      </c>
      <c r="N245" s="42" t="n">
        <f aca="false">IFERROR(J245/F245,0)</f>
        <v>0.00194814925820471</v>
      </c>
      <c r="O245" s="8" t="n">
        <v>0</v>
      </c>
      <c r="P245" s="8" t="n">
        <v>0</v>
      </c>
      <c r="Q245" s="8" t="n">
        <v>0</v>
      </c>
      <c r="R245" s="8" t="n">
        <v>0</v>
      </c>
      <c r="S245" s="8" t="n">
        <v>0</v>
      </c>
      <c r="T245" s="8" t="n">
        <v>1</v>
      </c>
      <c r="U245" s="8" t="n">
        <v>0</v>
      </c>
      <c r="V245" s="8" t="n">
        <v>0</v>
      </c>
      <c r="W245" s="8" t="n">
        <v>0</v>
      </c>
      <c r="X245" s="8" t="n">
        <v>0</v>
      </c>
      <c r="Y245" s="8" t="n">
        <v>0</v>
      </c>
      <c r="Z245" s="8" t="n">
        <v>0</v>
      </c>
      <c r="AA245" s="8" t="n">
        <v>0</v>
      </c>
      <c r="AB245" s="8" t="n">
        <v>0</v>
      </c>
      <c r="AC245" s="8" t="n">
        <v>0</v>
      </c>
      <c r="AD245" s="8" t="n">
        <v>0</v>
      </c>
    </row>
    <row r="246" customFormat="false" ht="15" hidden="false" customHeight="false" outlineLevel="0" collapsed="false">
      <c r="A246" s="38" t="s">
        <v>1874</v>
      </c>
      <c r="B246" s="8" t="s">
        <v>1680</v>
      </c>
      <c r="C246" s="39" t="n">
        <v>2607</v>
      </c>
      <c r="D246" s="40" t="n">
        <v>46156</v>
      </c>
      <c r="E246" s="8" t="n">
        <v>26</v>
      </c>
      <c r="F246" s="39" t="n">
        <v>6505</v>
      </c>
      <c r="G246" s="39" t="n">
        <v>41</v>
      </c>
      <c r="H246" s="39" t="n">
        <v>13</v>
      </c>
      <c r="I246" s="39" t="n">
        <v>45</v>
      </c>
      <c r="J246" s="39" t="n">
        <v>26</v>
      </c>
      <c r="K246" s="8" t="s">
        <v>1243</v>
      </c>
      <c r="L246" s="41" t="s">
        <v>1875</v>
      </c>
      <c r="M246" s="42" t="n">
        <f aca="false">IFERROR(I246/F246,0)</f>
        <v>0.00691775557263643</v>
      </c>
      <c r="N246" s="42" t="n">
        <f aca="false">IFERROR(J246/F246,0)</f>
        <v>0.00399692544196772</v>
      </c>
      <c r="O246" s="8" t="n">
        <v>1</v>
      </c>
      <c r="P246" s="8" t="n">
        <v>0</v>
      </c>
      <c r="Q246" s="8" t="n">
        <v>1</v>
      </c>
      <c r="R246" s="8" t="n">
        <v>0</v>
      </c>
      <c r="S246" s="8" t="n">
        <v>1</v>
      </c>
      <c r="T246" s="8" t="n">
        <v>0</v>
      </c>
      <c r="U246" s="8" t="n">
        <v>0</v>
      </c>
      <c r="V246" s="8" t="n">
        <v>0</v>
      </c>
      <c r="W246" s="8" t="n">
        <v>1</v>
      </c>
      <c r="X246" s="8" t="n">
        <v>0</v>
      </c>
      <c r="Y246" s="8" t="n">
        <v>0</v>
      </c>
      <c r="Z246" s="8" t="n">
        <v>0</v>
      </c>
      <c r="AA246" s="8" t="n">
        <v>0</v>
      </c>
      <c r="AB246" s="8" t="n">
        <v>0</v>
      </c>
      <c r="AC246" s="8" t="n">
        <v>0</v>
      </c>
      <c r="AD246" s="8" t="n">
        <v>0</v>
      </c>
    </row>
    <row r="247" customFormat="false" ht="15" hidden="false" customHeight="false" outlineLevel="0" collapsed="false">
      <c r="A247" s="38" t="s">
        <v>1876</v>
      </c>
      <c r="B247" s="8" t="s">
        <v>1877</v>
      </c>
      <c r="C247" s="39" t="n">
        <v>3150</v>
      </c>
      <c r="D247" s="40" t="n">
        <v>46022</v>
      </c>
      <c r="E247" s="8" t="n">
        <v>123</v>
      </c>
      <c r="F247" s="39" t="n">
        <v>6478</v>
      </c>
      <c r="G247" s="39" t="n">
        <v>134</v>
      </c>
      <c r="H247" s="39" t="n">
        <v>4</v>
      </c>
      <c r="I247" s="39" t="n">
        <v>20</v>
      </c>
      <c r="J247" s="39" t="n">
        <v>29</v>
      </c>
      <c r="K247" s="8" t="s">
        <v>1240</v>
      </c>
      <c r="L247" s="41" t="s">
        <v>1878</v>
      </c>
      <c r="M247" s="42" t="n">
        <f aca="false">IFERROR(I247/F247,0)</f>
        <v>0.00308737264587836</v>
      </c>
      <c r="N247" s="42" t="n">
        <f aca="false">IFERROR(J247/F247,0)</f>
        <v>0.00447669033652362</v>
      </c>
      <c r="O247" s="8" t="n">
        <v>0</v>
      </c>
      <c r="P247" s="8" t="n">
        <v>0</v>
      </c>
      <c r="Q247" s="8" t="n">
        <v>0</v>
      </c>
      <c r="R247" s="8" t="n">
        <v>0</v>
      </c>
      <c r="S247" s="8" t="n">
        <v>0</v>
      </c>
      <c r="T247" s="8" t="n">
        <v>1</v>
      </c>
      <c r="U247" s="8" t="n">
        <v>0</v>
      </c>
      <c r="V247" s="8" t="n">
        <v>0</v>
      </c>
      <c r="W247" s="8" t="n">
        <v>0</v>
      </c>
      <c r="X247" s="8" t="n">
        <v>0</v>
      </c>
      <c r="Y247" s="8" t="n">
        <v>0</v>
      </c>
      <c r="Z247" s="8" t="n">
        <v>0</v>
      </c>
      <c r="AA247" s="8" t="n">
        <v>0</v>
      </c>
      <c r="AB247" s="8" t="n">
        <v>0</v>
      </c>
      <c r="AC247" s="8" t="n">
        <v>0</v>
      </c>
      <c r="AD247" s="8" t="n">
        <v>0</v>
      </c>
    </row>
    <row r="248" customFormat="false" ht="15" hidden="false" customHeight="false" outlineLevel="0" collapsed="false">
      <c r="A248" s="38" t="s">
        <v>1879</v>
      </c>
      <c r="B248" s="8" t="s">
        <v>1781</v>
      </c>
      <c r="C248" s="39" t="n">
        <v>32000</v>
      </c>
      <c r="D248" s="40" t="n">
        <v>46133</v>
      </c>
      <c r="E248" s="8" t="n">
        <v>74</v>
      </c>
      <c r="F248" s="39" t="n">
        <v>6476</v>
      </c>
      <c r="G248" s="39" t="n">
        <v>164</v>
      </c>
      <c r="H248" s="39" t="n">
        <v>5</v>
      </c>
      <c r="I248" s="39" t="n">
        <v>23</v>
      </c>
      <c r="J248" s="39" t="n">
        <v>41</v>
      </c>
      <c r="K248" s="8" t="s">
        <v>1240</v>
      </c>
      <c r="L248" s="41" t="s">
        <v>1880</v>
      </c>
      <c r="M248" s="42" t="n">
        <f aca="false">IFERROR(I248/F248,0)</f>
        <v>0.00355157504632489</v>
      </c>
      <c r="N248" s="42" t="n">
        <f aca="false">IFERROR(J248/F248,0)</f>
        <v>0.00633106856084003</v>
      </c>
      <c r="O248" s="8" t="n">
        <v>0</v>
      </c>
      <c r="P248" s="8" t="n">
        <v>0</v>
      </c>
      <c r="Q248" s="8" t="n">
        <v>0</v>
      </c>
      <c r="R248" s="8" t="n">
        <v>0</v>
      </c>
      <c r="S248" s="8" t="n">
        <v>0</v>
      </c>
      <c r="T248" s="8" t="n">
        <v>0</v>
      </c>
      <c r="U248" s="8" t="n">
        <v>0</v>
      </c>
      <c r="V248" s="8" t="n">
        <v>1</v>
      </c>
      <c r="W248" s="8" t="n">
        <v>0</v>
      </c>
      <c r="X248" s="8" t="n">
        <v>0</v>
      </c>
      <c r="Y248" s="8" t="n">
        <v>0</v>
      </c>
      <c r="Z248" s="8" t="n">
        <v>0</v>
      </c>
      <c r="AA248" s="8" t="n">
        <v>0</v>
      </c>
      <c r="AB248" s="8" t="n">
        <v>0</v>
      </c>
      <c r="AC248" s="8" t="n">
        <v>0</v>
      </c>
      <c r="AD248" s="8" t="n">
        <v>0</v>
      </c>
    </row>
    <row r="249" customFormat="false" ht="15" hidden="false" customHeight="false" outlineLevel="0" collapsed="false">
      <c r="A249" s="38" t="s">
        <v>1881</v>
      </c>
      <c r="B249" s="8" t="s">
        <v>1882</v>
      </c>
      <c r="C249" s="39" t="n">
        <v>8599</v>
      </c>
      <c r="D249" s="40" t="n">
        <v>46227</v>
      </c>
      <c r="E249" s="8" t="n">
        <v>18</v>
      </c>
      <c r="F249" s="39" t="n">
        <v>6417</v>
      </c>
      <c r="G249" s="39" t="n">
        <v>49</v>
      </c>
      <c r="H249" s="39" t="n">
        <v>4</v>
      </c>
      <c r="I249" s="39" t="n">
        <v>9</v>
      </c>
      <c r="J249" s="39" t="n">
        <v>12</v>
      </c>
      <c r="K249" s="8" t="s">
        <v>1243</v>
      </c>
      <c r="L249" s="41" t="s">
        <v>1883</v>
      </c>
      <c r="M249" s="42" t="n">
        <f aca="false">IFERROR(I249/F249,0)</f>
        <v>0.00140252454417952</v>
      </c>
      <c r="N249" s="42" t="n">
        <f aca="false">IFERROR(J249/F249,0)</f>
        <v>0.0018700327255727</v>
      </c>
      <c r="O249" s="8" t="n">
        <v>0</v>
      </c>
      <c r="P249" s="8" t="n">
        <v>0</v>
      </c>
      <c r="Q249" s="8" t="n">
        <v>0</v>
      </c>
      <c r="R249" s="8" t="n">
        <v>1</v>
      </c>
      <c r="S249" s="8" t="n">
        <v>0</v>
      </c>
      <c r="T249" s="8" t="n">
        <v>0</v>
      </c>
      <c r="U249" s="8" t="n">
        <v>0</v>
      </c>
      <c r="V249" s="8" t="n">
        <v>0</v>
      </c>
      <c r="W249" s="8" t="n">
        <v>0</v>
      </c>
      <c r="X249" s="8" t="n">
        <v>0</v>
      </c>
      <c r="Y249" s="8" t="n">
        <v>1</v>
      </c>
      <c r="Z249" s="8" t="n">
        <v>0</v>
      </c>
      <c r="AA249" s="8" t="n">
        <v>0</v>
      </c>
      <c r="AB249" s="8" t="n">
        <v>0</v>
      </c>
      <c r="AC249" s="8" t="n">
        <v>0</v>
      </c>
      <c r="AD249" s="8" t="n">
        <v>0</v>
      </c>
    </row>
    <row r="250" customFormat="false" ht="15" hidden="false" customHeight="false" outlineLevel="0" collapsed="false">
      <c r="A250" s="38" t="s">
        <v>1884</v>
      </c>
      <c r="B250" s="8" t="s">
        <v>1885</v>
      </c>
      <c r="C250" s="39" t="n">
        <v>6308</v>
      </c>
      <c r="D250" s="40" t="n">
        <v>46036</v>
      </c>
      <c r="E250" s="8" t="n">
        <v>9</v>
      </c>
      <c r="F250" s="39" t="n">
        <v>6393</v>
      </c>
      <c r="G250" s="39" t="n">
        <v>51</v>
      </c>
      <c r="H250" s="39" t="n">
        <v>6</v>
      </c>
      <c r="I250" s="39" t="n">
        <v>43</v>
      </c>
      <c r="J250" s="39" t="n">
        <v>35</v>
      </c>
      <c r="K250" s="8" t="s">
        <v>1240</v>
      </c>
      <c r="L250" s="41" t="s">
        <v>1886</v>
      </c>
      <c r="M250" s="42" t="n">
        <f aca="false">IFERROR(I250/F250,0)</f>
        <v>0.00672610667918035</v>
      </c>
      <c r="N250" s="42" t="n">
        <f aca="false">IFERROR(J250/F250,0)</f>
        <v>0.00547473799468168</v>
      </c>
      <c r="O250" s="8" t="n">
        <v>0</v>
      </c>
      <c r="P250" s="8" t="n">
        <v>0</v>
      </c>
      <c r="Q250" s="8" t="n">
        <v>0</v>
      </c>
      <c r="R250" s="8" t="n">
        <v>0</v>
      </c>
      <c r="S250" s="8" t="n">
        <v>0</v>
      </c>
      <c r="T250" s="8" t="n">
        <v>1</v>
      </c>
      <c r="U250" s="8" t="n">
        <v>0</v>
      </c>
      <c r="V250" s="8" t="n">
        <v>0</v>
      </c>
      <c r="W250" s="8" t="n">
        <v>0</v>
      </c>
      <c r="X250" s="8" t="n">
        <v>1</v>
      </c>
      <c r="Y250" s="8" t="n">
        <v>0</v>
      </c>
      <c r="Z250" s="8" t="n">
        <v>0</v>
      </c>
      <c r="AA250" s="8" t="n">
        <v>0</v>
      </c>
      <c r="AB250" s="8" t="n">
        <v>0</v>
      </c>
      <c r="AC250" s="8" t="n">
        <v>0</v>
      </c>
      <c r="AD250" s="8" t="n">
        <v>0</v>
      </c>
    </row>
    <row r="251" customFormat="false" ht="15" hidden="false" customHeight="false" outlineLevel="0" collapsed="false">
      <c r="A251" s="38" t="s">
        <v>1887</v>
      </c>
      <c r="B251" s="8" t="s">
        <v>1455</v>
      </c>
      <c r="C251" s="39" t="n">
        <v>4836</v>
      </c>
      <c r="D251" s="40" t="n">
        <v>44398</v>
      </c>
      <c r="E251" s="8" t="n">
        <v>136</v>
      </c>
      <c r="F251" s="39" t="n">
        <v>6296</v>
      </c>
      <c r="G251" s="39" t="n">
        <v>104</v>
      </c>
      <c r="H251" s="39" t="n">
        <v>9</v>
      </c>
      <c r="I251" s="39" t="n">
        <v>6</v>
      </c>
      <c r="J251" s="39" t="n">
        <v>4</v>
      </c>
      <c r="K251" s="8" t="s">
        <v>1240</v>
      </c>
      <c r="L251" s="41" t="s">
        <v>1888</v>
      </c>
      <c r="M251" s="42" t="n">
        <f aca="false">IFERROR(I251/F251,0)</f>
        <v>0.000952986022871665</v>
      </c>
      <c r="N251" s="42" t="n">
        <f aca="false">IFERROR(J251/F251,0)</f>
        <v>0.000635324015247776</v>
      </c>
      <c r="O251" s="8" t="n">
        <v>0</v>
      </c>
      <c r="P251" s="8" t="n">
        <v>0</v>
      </c>
      <c r="Q251" s="8" t="n">
        <v>0</v>
      </c>
      <c r="R251" s="8" t="n">
        <v>0</v>
      </c>
      <c r="S251" s="8" t="n">
        <v>0</v>
      </c>
      <c r="T251" s="8" t="n">
        <v>0</v>
      </c>
      <c r="U251" s="8" t="n">
        <v>0</v>
      </c>
      <c r="V251" s="8" t="n">
        <v>0</v>
      </c>
      <c r="W251" s="8" t="n">
        <v>0</v>
      </c>
      <c r="X251" s="8" t="n">
        <v>0</v>
      </c>
      <c r="Y251" s="8" t="n">
        <v>0</v>
      </c>
      <c r="Z251" s="8" t="n">
        <v>0</v>
      </c>
      <c r="AA251" s="8" t="n">
        <v>0</v>
      </c>
      <c r="AB251" s="8" t="n">
        <v>0</v>
      </c>
      <c r="AC251" s="8" t="n">
        <v>0</v>
      </c>
      <c r="AD251" s="8" t="n">
        <v>0</v>
      </c>
    </row>
    <row r="252" customFormat="false" ht="15" hidden="false" customHeight="false" outlineLevel="0" collapsed="false">
      <c r="A252" s="38" t="s">
        <v>1889</v>
      </c>
      <c r="B252" s="8" t="s">
        <v>1890</v>
      </c>
      <c r="C252" s="39" t="n">
        <v>5483</v>
      </c>
      <c r="D252" s="40" t="n">
        <v>45965</v>
      </c>
      <c r="E252" s="8" t="n">
        <v>39</v>
      </c>
      <c r="F252" s="39" t="n">
        <v>6096</v>
      </c>
      <c r="G252" s="39" t="n">
        <v>138</v>
      </c>
      <c r="H252" s="39" t="n">
        <v>27</v>
      </c>
      <c r="I252" s="39" t="n">
        <v>44</v>
      </c>
      <c r="J252" s="39" t="n">
        <v>19</v>
      </c>
      <c r="K252" s="8" t="s">
        <v>1243</v>
      </c>
      <c r="L252" s="41" t="s">
        <v>1891</v>
      </c>
      <c r="M252" s="42" t="n">
        <f aca="false">IFERROR(I252/F252,0)</f>
        <v>0.00721784776902887</v>
      </c>
      <c r="N252" s="42" t="n">
        <f aca="false">IFERROR(J252/F252,0)</f>
        <v>0.00311679790026247</v>
      </c>
      <c r="O252" s="8" t="n">
        <v>1</v>
      </c>
      <c r="P252" s="8" t="n">
        <v>0</v>
      </c>
      <c r="Q252" s="8" t="n">
        <v>0</v>
      </c>
      <c r="R252" s="8" t="n">
        <v>1</v>
      </c>
      <c r="S252" s="8" t="n">
        <v>0</v>
      </c>
      <c r="T252" s="8" t="n">
        <v>0</v>
      </c>
      <c r="U252" s="8" t="n">
        <v>0</v>
      </c>
      <c r="V252" s="8" t="n">
        <v>0</v>
      </c>
      <c r="W252" s="8" t="n">
        <v>0</v>
      </c>
      <c r="X252" s="8" t="n">
        <v>0</v>
      </c>
      <c r="Y252" s="8" t="n">
        <v>0</v>
      </c>
      <c r="Z252" s="8" t="n">
        <v>0</v>
      </c>
      <c r="AA252" s="8" t="n">
        <v>0</v>
      </c>
      <c r="AB252" s="8" t="n">
        <v>0</v>
      </c>
      <c r="AC252" s="8" t="n">
        <v>0</v>
      </c>
      <c r="AD252" s="8" t="n">
        <v>0</v>
      </c>
    </row>
    <row r="253" customFormat="false" ht="15" hidden="false" customHeight="false" outlineLevel="0" collapsed="false">
      <c r="A253" s="38" t="s">
        <v>1892</v>
      </c>
      <c r="B253" s="8" t="s">
        <v>1893</v>
      </c>
      <c r="C253" s="39" t="n">
        <v>6220</v>
      </c>
      <c r="D253" s="40" t="n">
        <v>45431</v>
      </c>
      <c r="E253" s="8" t="n">
        <v>131</v>
      </c>
      <c r="F253" s="39" t="n">
        <v>5821</v>
      </c>
      <c r="G253" s="39" t="n">
        <v>57</v>
      </c>
      <c r="H253" s="39" t="n">
        <v>6</v>
      </c>
      <c r="I253" s="39" t="n">
        <v>3</v>
      </c>
      <c r="J253" s="39" t="n">
        <v>3</v>
      </c>
      <c r="K253" s="8" t="s">
        <v>1240</v>
      </c>
      <c r="L253" s="41" t="s">
        <v>1894</v>
      </c>
      <c r="M253" s="42" t="n">
        <f aca="false">IFERROR(I253/F253,0)</f>
        <v>0.00051537536505755</v>
      </c>
      <c r="N253" s="42" t="n">
        <f aca="false">IFERROR(J253/F253,0)</f>
        <v>0.00051537536505755</v>
      </c>
      <c r="O253" s="8" t="n">
        <v>0</v>
      </c>
      <c r="P253" s="8" t="n">
        <v>0</v>
      </c>
      <c r="Q253" s="8" t="n">
        <v>0</v>
      </c>
      <c r="R253" s="8" t="n">
        <v>0</v>
      </c>
      <c r="S253" s="8" t="n">
        <v>0</v>
      </c>
      <c r="T253" s="8" t="n">
        <v>1</v>
      </c>
      <c r="U253" s="8" t="n">
        <v>0</v>
      </c>
      <c r="V253" s="8" t="n">
        <v>0</v>
      </c>
      <c r="W253" s="8" t="n">
        <v>0</v>
      </c>
      <c r="X253" s="8" t="n">
        <v>0</v>
      </c>
      <c r="Y253" s="8" t="n">
        <v>0</v>
      </c>
      <c r="Z253" s="8" t="n">
        <v>0</v>
      </c>
      <c r="AA253" s="8" t="n">
        <v>0</v>
      </c>
      <c r="AB253" s="8" t="n">
        <v>0</v>
      </c>
      <c r="AC253" s="8" t="n">
        <v>0</v>
      </c>
      <c r="AD253" s="8" t="n">
        <v>0</v>
      </c>
    </row>
    <row r="254" customFormat="false" ht="15" hidden="false" customHeight="false" outlineLevel="0" collapsed="false">
      <c r="A254" s="38" t="s">
        <v>1895</v>
      </c>
      <c r="B254" s="8" t="s">
        <v>1896</v>
      </c>
      <c r="C254" s="39" t="n">
        <v>14000</v>
      </c>
      <c r="D254" s="40" t="n">
        <v>45068</v>
      </c>
      <c r="E254" s="8" t="n">
        <v>14</v>
      </c>
      <c r="F254" s="39" t="n">
        <v>5741</v>
      </c>
      <c r="G254" s="39" t="n">
        <v>72</v>
      </c>
      <c r="H254" s="39" t="n">
        <v>2</v>
      </c>
      <c r="I254" s="39" t="n">
        <v>1</v>
      </c>
      <c r="J254" s="39" t="n">
        <v>4</v>
      </c>
      <c r="K254" s="8" t="s">
        <v>1240</v>
      </c>
      <c r="L254" s="41" t="s">
        <v>1897</v>
      </c>
      <c r="M254" s="42" t="n">
        <f aca="false">IFERROR(I254/F254,0)</f>
        <v>0.000174185681936945</v>
      </c>
      <c r="N254" s="42" t="n">
        <f aca="false">IFERROR(J254/F254,0)</f>
        <v>0.000696742727747779</v>
      </c>
      <c r="O254" s="8" t="n">
        <v>0</v>
      </c>
      <c r="P254" s="8" t="n">
        <v>0</v>
      </c>
      <c r="Q254" s="8" t="n">
        <v>0</v>
      </c>
      <c r="R254" s="8" t="n">
        <v>0</v>
      </c>
      <c r="S254" s="8" t="n">
        <v>0</v>
      </c>
      <c r="T254" s="8" t="n">
        <v>1</v>
      </c>
      <c r="U254" s="8" t="n">
        <v>0</v>
      </c>
      <c r="V254" s="8" t="n">
        <v>0</v>
      </c>
      <c r="W254" s="8" t="n">
        <v>1</v>
      </c>
      <c r="X254" s="8" t="n">
        <v>1</v>
      </c>
      <c r="Y254" s="8" t="n">
        <v>0</v>
      </c>
      <c r="Z254" s="8" t="n">
        <v>0</v>
      </c>
      <c r="AA254" s="8" t="n">
        <v>0</v>
      </c>
      <c r="AB254" s="8" t="n">
        <v>0</v>
      </c>
      <c r="AC254" s="8" t="n">
        <v>0</v>
      </c>
      <c r="AD254" s="8" t="n">
        <v>0</v>
      </c>
    </row>
    <row r="255" customFormat="false" ht="15" hidden="false" customHeight="false" outlineLevel="0" collapsed="false">
      <c r="A255" s="38" t="s">
        <v>1898</v>
      </c>
      <c r="B255" s="8" t="s">
        <v>1899</v>
      </c>
      <c r="C255" s="39" t="n">
        <v>257</v>
      </c>
      <c r="D255" s="40" t="n">
        <v>44699</v>
      </c>
      <c r="E255" s="8" t="n">
        <v>19</v>
      </c>
      <c r="F255" s="39" t="n">
        <v>5608</v>
      </c>
      <c r="G255" s="39" t="n">
        <v>73</v>
      </c>
      <c r="H255" s="39" t="n">
        <v>4</v>
      </c>
      <c r="I255" s="39" t="n">
        <v>17</v>
      </c>
      <c r="J255" s="39" t="n">
        <v>6</v>
      </c>
      <c r="K255" s="8" t="s">
        <v>1243</v>
      </c>
      <c r="L255" s="41" t="s">
        <v>1900</v>
      </c>
      <c r="M255" s="42" t="n">
        <f aca="false">IFERROR(I255/F255,0)</f>
        <v>0.00303138373751783</v>
      </c>
      <c r="N255" s="42" t="n">
        <f aca="false">IFERROR(J255/F255,0)</f>
        <v>0.00106990014265335</v>
      </c>
      <c r="O255" s="8" t="n">
        <v>0</v>
      </c>
      <c r="P255" s="8" t="n">
        <v>0</v>
      </c>
      <c r="Q255" s="8" t="n">
        <v>1</v>
      </c>
      <c r="R255" s="8" t="n">
        <v>1</v>
      </c>
      <c r="S255" s="8" t="n">
        <v>0</v>
      </c>
      <c r="T255" s="8" t="n">
        <v>0</v>
      </c>
      <c r="U255" s="8" t="n">
        <v>0</v>
      </c>
      <c r="V255" s="8" t="n">
        <v>0</v>
      </c>
      <c r="W255" s="8" t="n">
        <v>0</v>
      </c>
      <c r="X255" s="8" t="n">
        <v>0</v>
      </c>
      <c r="Y255" s="8" t="n">
        <v>0</v>
      </c>
      <c r="Z255" s="8" t="n">
        <v>0</v>
      </c>
      <c r="AA255" s="8" t="n">
        <v>0</v>
      </c>
      <c r="AB255" s="8" t="n">
        <v>0</v>
      </c>
      <c r="AC255" s="8" t="n">
        <v>0</v>
      </c>
      <c r="AD255" s="8" t="n">
        <v>0</v>
      </c>
    </row>
    <row r="256" customFormat="false" ht="15" hidden="false" customHeight="false" outlineLevel="0" collapsed="false">
      <c r="A256" s="38" t="s">
        <v>1901</v>
      </c>
      <c r="B256" s="8" t="s">
        <v>1902</v>
      </c>
      <c r="C256" s="39" t="n">
        <v>283</v>
      </c>
      <c r="D256" s="40" t="n">
        <v>45880</v>
      </c>
      <c r="E256" s="8" t="n">
        <v>20</v>
      </c>
      <c r="F256" s="39" t="n">
        <v>5526</v>
      </c>
      <c r="G256" s="39" t="n">
        <v>242</v>
      </c>
      <c r="H256" s="39" t="n">
        <v>7</v>
      </c>
      <c r="I256" s="39" t="n">
        <v>1</v>
      </c>
      <c r="J256" s="39" t="n">
        <v>9</v>
      </c>
      <c r="K256" s="8" t="s">
        <v>1243</v>
      </c>
      <c r="L256" s="41" t="s">
        <v>1903</v>
      </c>
      <c r="M256" s="42" t="n">
        <f aca="false">IFERROR(I256/F256,0)</f>
        <v>0.000180962721679334</v>
      </c>
      <c r="N256" s="42" t="n">
        <f aca="false">IFERROR(J256/F256,0)</f>
        <v>0.00162866449511401</v>
      </c>
      <c r="O256" s="8" t="n">
        <v>0</v>
      </c>
      <c r="P256" s="8" t="n">
        <v>0</v>
      </c>
      <c r="Q256" s="8" t="n">
        <v>0</v>
      </c>
      <c r="R256" s="8" t="n">
        <v>0</v>
      </c>
      <c r="S256" s="8" t="n">
        <v>0</v>
      </c>
      <c r="T256" s="8" t="n">
        <v>0</v>
      </c>
      <c r="U256" s="8" t="n">
        <v>0</v>
      </c>
      <c r="V256" s="8" t="n">
        <v>0</v>
      </c>
      <c r="W256" s="8" t="n">
        <v>0</v>
      </c>
      <c r="X256" s="8" t="n">
        <v>0</v>
      </c>
      <c r="Y256" s="8" t="n">
        <v>0</v>
      </c>
      <c r="Z256" s="8" t="n">
        <v>0</v>
      </c>
      <c r="AA256" s="8" t="n">
        <v>0</v>
      </c>
      <c r="AB256" s="8" t="n">
        <v>1</v>
      </c>
      <c r="AC256" s="8" t="n">
        <v>0</v>
      </c>
      <c r="AD256" s="8" t="n">
        <v>0</v>
      </c>
    </row>
    <row r="257" customFormat="false" ht="15" hidden="false" customHeight="false" outlineLevel="0" collapsed="false">
      <c r="A257" s="38" t="s">
        <v>1904</v>
      </c>
      <c r="B257" s="8" t="s">
        <v>1905</v>
      </c>
      <c r="C257" s="39" t="n">
        <v>3787</v>
      </c>
      <c r="D257" s="40" t="n">
        <v>46166</v>
      </c>
      <c r="E257" s="8" t="n">
        <v>25</v>
      </c>
      <c r="F257" s="39" t="n">
        <v>5446</v>
      </c>
      <c r="G257" s="39" t="n">
        <v>595</v>
      </c>
      <c r="H257" s="39" t="n">
        <v>6</v>
      </c>
      <c r="I257" s="39" t="n">
        <v>12</v>
      </c>
      <c r="J257" s="39" t="n">
        <v>30</v>
      </c>
      <c r="K257" s="8" t="s">
        <v>1240</v>
      </c>
      <c r="L257" s="41" t="s">
        <v>1906</v>
      </c>
      <c r="M257" s="42" t="n">
        <f aca="false">IFERROR(I257/F257,0)</f>
        <v>0.00220345207491737</v>
      </c>
      <c r="N257" s="42" t="n">
        <f aca="false">IFERROR(J257/F257,0)</f>
        <v>0.00550863018729343</v>
      </c>
      <c r="O257" s="8" t="n">
        <v>0</v>
      </c>
      <c r="P257" s="8" t="n">
        <v>0</v>
      </c>
      <c r="Q257" s="8" t="n">
        <v>1</v>
      </c>
      <c r="R257" s="8" t="n">
        <v>0</v>
      </c>
      <c r="S257" s="8" t="n">
        <v>0</v>
      </c>
      <c r="T257" s="8" t="n">
        <v>1</v>
      </c>
      <c r="U257" s="8" t="n">
        <v>1</v>
      </c>
      <c r="V257" s="8" t="n">
        <v>0</v>
      </c>
      <c r="W257" s="8" t="n">
        <v>0</v>
      </c>
      <c r="X257" s="8" t="n">
        <v>1</v>
      </c>
      <c r="Y257" s="8" t="n">
        <v>0</v>
      </c>
      <c r="Z257" s="8" t="n">
        <v>0</v>
      </c>
      <c r="AA257" s="8" t="n">
        <v>0</v>
      </c>
      <c r="AB257" s="8" t="n">
        <v>0</v>
      </c>
      <c r="AC257" s="8" t="n">
        <v>0</v>
      </c>
      <c r="AD257" s="8" t="n">
        <v>1</v>
      </c>
    </row>
    <row r="258" customFormat="false" ht="15" hidden="false" customHeight="false" outlineLevel="0" collapsed="false">
      <c r="A258" s="38" t="s">
        <v>1907</v>
      </c>
      <c r="B258" s="8" t="s">
        <v>1271</v>
      </c>
      <c r="C258" s="39" t="n">
        <v>74500</v>
      </c>
      <c r="D258" s="40" t="n">
        <v>46088</v>
      </c>
      <c r="E258" s="8" t="n">
        <v>23</v>
      </c>
      <c r="F258" s="39" t="n">
        <v>5443</v>
      </c>
      <c r="G258" s="39" t="n">
        <v>53</v>
      </c>
      <c r="H258" s="39" t="n">
        <v>4</v>
      </c>
      <c r="I258" s="39" t="n">
        <v>25</v>
      </c>
      <c r="J258" s="39" t="n">
        <v>24</v>
      </c>
      <c r="K258" s="8" t="s">
        <v>1243</v>
      </c>
      <c r="L258" s="41" t="s">
        <v>1908</v>
      </c>
      <c r="M258" s="42" t="n">
        <f aca="false">IFERROR(I258/F258,0)</f>
        <v>0.00459305530038582</v>
      </c>
      <c r="N258" s="42" t="n">
        <f aca="false">IFERROR(J258/F258,0)</f>
        <v>0.00440933308837038</v>
      </c>
      <c r="O258" s="8" t="n">
        <v>0</v>
      </c>
      <c r="P258" s="8" t="n">
        <v>0</v>
      </c>
      <c r="Q258" s="8" t="n">
        <v>1</v>
      </c>
      <c r="R258" s="8" t="n">
        <v>0</v>
      </c>
      <c r="S258" s="8" t="n">
        <v>1</v>
      </c>
      <c r="T258" s="8" t="n">
        <v>0</v>
      </c>
      <c r="U258" s="8" t="n">
        <v>0</v>
      </c>
      <c r="V258" s="8" t="n">
        <v>0</v>
      </c>
      <c r="W258" s="8" t="n">
        <v>0</v>
      </c>
      <c r="X258" s="8" t="n">
        <v>0</v>
      </c>
      <c r="Y258" s="8" t="n">
        <v>0</v>
      </c>
      <c r="Z258" s="8" t="n">
        <v>0</v>
      </c>
      <c r="AA258" s="8" t="n">
        <v>0</v>
      </c>
      <c r="AB258" s="8" t="n">
        <v>0</v>
      </c>
      <c r="AC258" s="8" t="n">
        <v>0</v>
      </c>
      <c r="AD258" s="8" t="n">
        <v>0</v>
      </c>
    </row>
    <row r="259" customFormat="false" ht="15" hidden="false" customHeight="false" outlineLevel="0" collapsed="false">
      <c r="A259" s="38" t="s">
        <v>1909</v>
      </c>
      <c r="B259" s="8" t="s">
        <v>1525</v>
      </c>
      <c r="C259" s="39" t="n">
        <v>6801</v>
      </c>
      <c r="D259" s="40" t="n">
        <v>44707</v>
      </c>
      <c r="E259" s="8" t="n">
        <v>54</v>
      </c>
      <c r="F259" s="39" t="n">
        <v>5366</v>
      </c>
      <c r="G259" s="39" t="n">
        <v>73</v>
      </c>
      <c r="H259" s="39" t="n">
        <v>4</v>
      </c>
      <c r="I259" s="39" t="n">
        <v>32</v>
      </c>
      <c r="J259" s="39" t="n">
        <v>4</v>
      </c>
      <c r="K259" s="8" t="s">
        <v>1243</v>
      </c>
      <c r="L259" s="41" t="s">
        <v>1910</v>
      </c>
      <c r="M259" s="42" t="n">
        <f aca="false">IFERROR(I259/F259,0)</f>
        <v>0.00596347372344391</v>
      </c>
      <c r="N259" s="42" t="n">
        <f aca="false">IFERROR(J259/F259,0)</f>
        <v>0.000745434215430488</v>
      </c>
      <c r="O259" s="8" t="n">
        <v>1</v>
      </c>
      <c r="P259" s="8" t="n">
        <v>0</v>
      </c>
      <c r="Q259" s="8" t="n">
        <v>1</v>
      </c>
      <c r="R259" s="8" t="n">
        <v>1</v>
      </c>
      <c r="S259" s="8" t="n">
        <v>0</v>
      </c>
      <c r="T259" s="8" t="n">
        <v>0</v>
      </c>
      <c r="U259" s="8" t="n">
        <v>0</v>
      </c>
      <c r="V259" s="8" t="n">
        <v>0</v>
      </c>
      <c r="W259" s="8" t="n">
        <v>0</v>
      </c>
      <c r="X259" s="8" t="n">
        <v>0</v>
      </c>
      <c r="Y259" s="8" t="n">
        <v>0</v>
      </c>
      <c r="Z259" s="8" t="n">
        <v>0</v>
      </c>
      <c r="AA259" s="8" t="n">
        <v>0</v>
      </c>
      <c r="AB259" s="8" t="n">
        <v>0</v>
      </c>
      <c r="AC259" s="8" t="n">
        <v>0</v>
      </c>
      <c r="AD259" s="8" t="n">
        <v>0</v>
      </c>
    </row>
    <row r="260" customFormat="false" ht="15" hidden="false" customHeight="false" outlineLevel="0" collapsed="false">
      <c r="A260" s="38" t="s">
        <v>1911</v>
      </c>
      <c r="B260" s="8" t="s">
        <v>1912</v>
      </c>
      <c r="C260" s="39" t="n">
        <v>2768</v>
      </c>
      <c r="D260" s="40" t="n">
        <v>45977</v>
      </c>
      <c r="E260" s="8" t="n">
        <v>16</v>
      </c>
      <c r="F260" s="39" t="n">
        <v>5213</v>
      </c>
      <c r="G260" s="39" t="n">
        <v>123</v>
      </c>
      <c r="H260" s="39" t="n">
        <v>23</v>
      </c>
      <c r="I260" s="39" t="n">
        <v>63</v>
      </c>
      <c r="J260" s="39" t="n">
        <v>12</v>
      </c>
      <c r="K260" s="8" t="s">
        <v>1243</v>
      </c>
      <c r="L260" s="41" t="s">
        <v>1913</v>
      </c>
      <c r="M260" s="42" t="n">
        <f aca="false">IFERROR(I260/F260,0)</f>
        <v>0.0120851716861692</v>
      </c>
      <c r="N260" s="42" t="n">
        <f aca="false">IFERROR(J260/F260,0)</f>
        <v>0.00230193746403223</v>
      </c>
      <c r="O260" s="8" t="n">
        <v>1</v>
      </c>
      <c r="P260" s="8" t="n">
        <v>0</v>
      </c>
      <c r="Q260" s="8" t="n">
        <v>0</v>
      </c>
      <c r="R260" s="8" t="n">
        <v>0</v>
      </c>
      <c r="S260" s="8" t="n">
        <v>0</v>
      </c>
      <c r="T260" s="8" t="n">
        <v>0</v>
      </c>
      <c r="U260" s="8" t="n">
        <v>0</v>
      </c>
      <c r="V260" s="8" t="n">
        <v>0</v>
      </c>
      <c r="W260" s="8" t="n">
        <v>1</v>
      </c>
      <c r="X260" s="8" t="n">
        <v>0</v>
      </c>
      <c r="Y260" s="8" t="n">
        <v>0</v>
      </c>
      <c r="Z260" s="8" t="n">
        <v>0</v>
      </c>
      <c r="AA260" s="8" t="n">
        <v>0</v>
      </c>
      <c r="AB260" s="8" t="n">
        <v>0</v>
      </c>
      <c r="AC260" s="8" t="n">
        <v>0</v>
      </c>
      <c r="AD260" s="8" t="n">
        <v>0</v>
      </c>
    </row>
    <row r="261" customFormat="false" ht="15" hidden="false" customHeight="false" outlineLevel="0" collapsed="false">
      <c r="A261" s="38" t="s">
        <v>1914</v>
      </c>
      <c r="B261" s="8" t="s">
        <v>1271</v>
      </c>
      <c r="C261" s="39" t="n">
        <v>74500</v>
      </c>
      <c r="D261" s="40" t="n">
        <v>46309</v>
      </c>
      <c r="E261" s="8" t="n">
        <v>44</v>
      </c>
      <c r="F261" s="39" t="n">
        <v>5143</v>
      </c>
      <c r="G261" s="39" t="n">
        <v>53</v>
      </c>
      <c r="H261" s="39" t="n">
        <v>4</v>
      </c>
      <c r="I261" s="39" t="n">
        <v>9</v>
      </c>
      <c r="J261" s="39" t="n">
        <v>11</v>
      </c>
      <c r="K261" s="8" t="s">
        <v>1243</v>
      </c>
      <c r="L261" s="41" t="s">
        <v>1915</v>
      </c>
      <c r="M261" s="42" t="n">
        <f aca="false">IFERROR(I261/F261,0)</f>
        <v>0.00174995139023916</v>
      </c>
      <c r="N261" s="42" t="n">
        <f aca="false">IFERROR(J261/F261,0)</f>
        <v>0.00213882947695897</v>
      </c>
      <c r="O261" s="8" t="n">
        <v>0</v>
      </c>
      <c r="P261" s="8" t="n">
        <v>0</v>
      </c>
      <c r="Q261" s="8" t="n">
        <v>0</v>
      </c>
      <c r="R261" s="8" t="n">
        <v>0</v>
      </c>
      <c r="S261" s="8" t="n">
        <v>0</v>
      </c>
      <c r="T261" s="8" t="n">
        <v>0</v>
      </c>
      <c r="U261" s="8" t="n">
        <v>0</v>
      </c>
      <c r="V261" s="8" t="n">
        <v>1</v>
      </c>
      <c r="W261" s="8" t="n">
        <v>0</v>
      </c>
      <c r="X261" s="8" t="n">
        <v>0</v>
      </c>
      <c r="Y261" s="8" t="n">
        <v>0</v>
      </c>
      <c r="Z261" s="8" t="n">
        <v>0</v>
      </c>
      <c r="AA261" s="8" t="n">
        <v>0</v>
      </c>
      <c r="AB261" s="8" t="n">
        <v>0</v>
      </c>
      <c r="AC261" s="8" t="n">
        <v>0</v>
      </c>
      <c r="AD261" s="8" t="n">
        <v>0</v>
      </c>
    </row>
    <row r="262" customFormat="false" ht="15" hidden="false" customHeight="false" outlineLevel="0" collapsed="false">
      <c r="A262" s="38" t="s">
        <v>1916</v>
      </c>
      <c r="B262" s="8" t="s">
        <v>1917</v>
      </c>
      <c r="C262" s="39" t="n">
        <v>203</v>
      </c>
      <c r="D262" s="40" t="n">
        <v>45087</v>
      </c>
      <c r="E262" s="8" t="n">
        <v>8</v>
      </c>
      <c r="F262" s="39" t="n">
        <v>5107</v>
      </c>
      <c r="G262" s="39" t="n">
        <v>9</v>
      </c>
      <c r="H262" s="39" t="n">
        <v>0</v>
      </c>
      <c r="I262" s="39" t="n">
        <v>10</v>
      </c>
      <c r="J262" s="39" t="n">
        <v>6</v>
      </c>
      <c r="K262" s="8" t="s">
        <v>1243</v>
      </c>
      <c r="L262" s="41" t="s">
        <v>1918</v>
      </c>
      <c r="M262" s="42" t="n">
        <f aca="false">IFERROR(I262/F262,0)</f>
        <v>0.00195809672997846</v>
      </c>
      <c r="N262" s="42" t="n">
        <f aca="false">IFERROR(J262/F262,0)</f>
        <v>0.00117485803798708</v>
      </c>
      <c r="O262" s="8" t="n">
        <v>0</v>
      </c>
      <c r="P262" s="8" t="n">
        <v>0</v>
      </c>
      <c r="Q262" s="8" t="n">
        <v>0</v>
      </c>
      <c r="R262" s="8" t="n">
        <v>0</v>
      </c>
      <c r="S262" s="8" t="n">
        <v>0</v>
      </c>
      <c r="T262" s="8" t="n">
        <v>0</v>
      </c>
      <c r="U262" s="8" t="n">
        <v>0</v>
      </c>
      <c r="V262" s="8" t="n">
        <v>0</v>
      </c>
      <c r="W262" s="8" t="n">
        <v>0</v>
      </c>
      <c r="X262" s="8" t="n">
        <v>0</v>
      </c>
      <c r="Y262" s="8" t="n">
        <v>0</v>
      </c>
      <c r="Z262" s="8" t="n">
        <v>0</v>
      </c>
      <c r="AA262" s="8" t="n">
        <v>0</v>
      </c>
      <c r="AB262" s="8" t="n">
        <v>0</v>
      </c>
      <c r="AC262" s="8" t="n">
        <v>0</v>
      </c>
      <c r="AD262" s="8" t="n">
        <v>0</v>
      </c>
    </row>
    <row r="263" customFormat="false" ht="15" hidden="false" customHeight="false" outlineLevel="0" collapsed="false">
      <c r="A263" s="38" t="s">
        <v>1919</v>
      </c>
      <c r="B263" s="8" t="s">
        <v>1912</v>
      </c>
      <c r="C263" s="39" t="n">
        <v>2768</v>
      </c>
      <c r="D263" s="40" t="n">
        <v>45970</v>
      </c>
      <c r="E263" s="8" t="n">
        <v>32</v>
      </c>
      <c r="F263" s="39" t="n">
        <v>4874</v>
      </c>
      <c r="G263" s="39" t="n">
        <v>150</v>
      </c>
      <c r="H263" s="39" t="n">
        <v>7</v>
      </c>
      <c r="I263" s="39" t="n">
        <v>38</v>
      </c>
      <c r="J263" s="39" t="n">
        <v>11</v>
      </c>
      <c r="K263" s="8" t="s">
        <v>1243</v>
      </c>
      <c r="L263" s="41" t="s">
        <v>1920</v>
      </c>
      <c r="M263" s="42" t="n">
        <f aca="false">IFERROR(I263/F263,0)</f>
        <v>0.00779647107098892</v>
      </c>
      <c r="N263" s="42" t="n">
        <f aca="false">IFERROR(J263/F263,0)</f>
        <v>0.00225687320475995</v>
      </c>
      <c r="O263" s="8" t="n">
        <v>1</v>
      </c>
      <c r="P263" s="8" t="n">
        <v>1</v>
      </c>
      <c r="Q263" s="8" t="n">
        <v>0</v>
      </c>
      <c r="R263" s="8" t="n">
        <v>0</v>
      </c>
      <c r="S263" s="8" t="n">
        <v>0</v>
      </c>
      <c r="T263" s="8" t="n">
        <v>0</v>
      </c>
      <c r="U263" s="8" t="n">
        <v>0</v>
      </c>
      <c r="V263" s="8" t="n">
        <v>0</v>
      </c>
      <c r="W263" s="8" t="n">
        <v>0</v>
      </c>
      <c r="X263" s="8" t="n">
        <v>0</v>
      </c>
      <c r="Y263" s="8" t="n">
        <v>0</v>
      </c>
      <c r="Z263" s="8" t="n">
        <v>0</v>
      </c>
      <c r="AA263" s="8" t="n">
        <v>0</v>
      </c>
      <c r="AB263" s="8" t="n">
        <v>0</v>
      </c>
      <c r="AC263" s="8" t="n">
        <v>0</v>
      </c>
      <c r="AD263" s="8" t="n">
        <v>0</v>
      </c>
    </row>
    <row r="264" customFormat="false" ht="15" hidden="false" customHeight="false" outlineLevel="0" collapsed="false">
      <c r="A264" s="38" t="s">
        <v>1921</v>
      </c>
      <c r="B264" s="8" t="s">
        <v>1922</v>
      </c>
      <c r="C264" s="39" t="n">
        <v>14500</v>
      </c>
      <c r="D264" s="40" t="n">
        <v>46077</v>
      </c>
      <c r="E264" s="8" t="n">
        <v>98</v>
      </c>
      <c r="F264" s="39" t="n">
        <v>4824</v>
      </c>
      <c r="G264" s="39" t="n">
        <v>84</v>
      </c>
      <c r="H264" s="39" t="n">
        <v>8</v>
      </c>
      <c r="I264" s="39" t="n">
        <v>11</v>
      </c>
      <c r="J264" s="39" t="n">
        <v>13</v>
      </c>
      <c r="K264" s="8" t="s">
        <v>1240</v>
      </c>
      <c r="L264" s="41" t="s">
        <v>1923</v>
      </c>
      <c r="M264" s="42" t="n">
        <f aca="false">IFERROR(I264/F264,0)</f>
        <v>0.00228026533996683</v>
      </c>
      <c r="N264" s="42" t="n">
        <f aca="false">IFERROR(J264/F264,0)</f>
        <v>0.00269485903814262</v>
      </c>
      <c r="O264" s="8" t="n">
        <v>0</v>
      </c>
      <c r="P264" s="8" t="n">
        <v>0</v>
      </c>
      <c r="Q264" s="8" t="n">
        <v>0</v>
      </c>
      <c r="R264" s="8" t="n">
        <v>0</v>
      </c>
      <c r="S264" s="8" t="n">
        <v>0</v>
      </c>
      <c r="T264" s="8" t="n">
        <v>1</v>
      </c>
      <c r="U264" s="8" t="n">
        <v>0</v>
      </c>
      <c r="V264" s="8" t="n">
        <v>0</v>
      </c>
      <c r="W264" s="8" t="n">
        <v>1</v>
      </c>
      <c r="X264" s="8" t="n">
        <v>1</v>
      </c>
      <c r="Y264" s="8" t="n">
        <v>0</v>
      </c>
      <c r="Z264" s="8" t="n">
        <v>0</v>
      </c>
      <c r="AA264" s="8" t="n">
        <v>0</v>
      </c>
      <c r="AB264" s="8" t="n">
        <v>0</v>
      </c>
      <c r="AC264" s="8" t="n">
        <v>0</v>
      </c>
      <c r="AD264" s="8" t="n">
        <v>0</v>
      </c>
    </row>
    <row r="265" customFormat="false" ht="15" hidden="false" customHeight="false" outlineLevel="0" collapsed="false">
      <c r="A265" s="38" t="s">
        <v>1924</v>
      </c>
      <c r="B265" s="8" t="s">
        <v>1496</v>
      </c>
      <c r="C265" s="39" t="n">
        <v>12800</v>
      </c>
      <c r="D265" s="40" t="n">
        <v>46309</v>
      </c>
      <c r="E265" s="8" t="n">
        <v>50</v>
      </c>
      <c r="F265" s="39" t="n">
        <v>4768</v>
      </c>
      <c r="G265" s="39" t="n">
        <v>56</v>
      </c>
      <c r="H265" s="39" t="n">
        <v>1</v>
      </c>
      <c r="I265" s="39" t="n">
        <v>24</v>
      </c>
      <c r="J265" s="39" t="n">
        <v>13</v>
      </c>
      <c r="K265" s="8" t="s">
        <v>1243</v>
      </c>
      <c r="L265" s="41" t="s">
        <v>1497</v>
      </c>
      <c r="M265" s="42" t="n">
        <f aca="false">IFERROR(I265/F265,0)</f>
        <v>0.00503355704697987</v>
      </c>
      <c r="N265" s="42" t="n">
        <f aca="false">IFERROR(J265/F265,0)</f>
        <v>0.00272651006711409</v>
      </c>
      <c r="O265" s="8" t="n">
        <v>0</v>
      </c>
      <c r="P265" s="8" t="n">
        <v>0</v>
      </c>
      <c r="Q265" s="8" t="n">
        <v>1</v>
      </c>
      <c r="R265" s="8" t="n">
        <v>0</v>
      </c>
      <c r="S265" s="8" t="n">
        <v>0</v>
      </c>
      <c r="T265" s="8" t="n">
        <v>0</v>
      </c>
      <c r="U265" s="8" t="n">
        <v>1</v>
      </c>
      <c r="V265" s="8" t="n">
        <v>1</v>
      </c>
      <c r="W265" s="8" t="n">
        <v>0</v>
      </c>
      <c r="X265" s="8" t="n">
        <v>0</v>
      </c>
      <c r="Y265" s="8" t="n">
        <v>0</v>
      </c>
      <c r="Z265" s="8" t="n">
        <v>0</v>
      </c>
      <c r="AA265" s="8" t="n">
        <v>0</v>
      </c>
      <c r="AB265" s="8" t="n">
        <v>0</v>
      </c>
      <c r="AC265" s="8" t="n">
        <v>0</v>
      </c>
      <c r="AD265" s="8" t="n">
        <v>0</v>
      </c>
    </row>
    <row r="266" customFormat="false" ht="15" hidden="false" customHeight="false" outlineLevel="0" collapsed="false">
      <c r="A266" s="38" t="s">
        <v>1925</v>
      </c>
      <c r="B266" s="8" t="s">
        <v>1926</v>
      </c>
      <c r="C266" s="39" t="n">
        <v>84</v>
      </c>
      <c r="D266" s="40" t="n">
        <v>46238</v>
      </c>
      <c r="E266" s="8" t="n">
        <v>7</v>
      </c>
      <c r="F266" s="39" t="n">
        <v>4717</v>
      </c>
      <c r="G266" s="39" t="n">
        <v>29</v>
      </c>
      <c r="H266" s="39" t="n">
        <v>3</v>
      </c>
      <c r="I266" s="39" t="n">
        <v>2</v>
      </c>
      <c r="J266" s="39" t="n">
        <v>5</v>
      </c>
      <c r="K266" s="8" t="s">
        <v>1240</v>
      </c>
      <c r="L266" s="41" t="s">
        <v>1927</v>
      </c>
      <c r="M266" s="42" t="n">
        <f aca="false">IFERROR(I266/F266,0)</f>
        <v>0.000423998304006784</v>
      </c>
      <c r="N266" s="42" t="n">
        <f aca="false">IFERROR(J266/F266,0)</f>
        <v>0.00105999576001696</v>
      </c>
      <c r="O266" s="8" t="n">
        <v>1</v>
      </c>
      <c r="P266" s="8" t="n">
        <v>0</v>
      </c>
      <c r="Q266" s="8" t="n">
        <v>0</v>
      </c>
      <c r="R266" s="8" t="n">
        <v>0</v>
      </c>
      <c r="S266" s="8" t="n">
        <v>0</v>
      </c>
      <c r="T266" s="8" t="n">
        <v>0</v>
      </c>
      <c r="U266" s="8" t="n">
        <v>0</v>
      </c>
      <c r="V266" s="8" t="n">
        <v>1</v>
      </c>
      <c r="W266" s="8" t="n">
        <v>0</v>
      </c>
      <c r="X266" s="8" t="n">
        <v>0</v>
      </c>
      <c r="Y266" s="8" t="n">
        <v>0</v>
      </c>
      <c r="Z266" s="8" t="n">
        <v>0</v>
      </c>
      <c r="AA266" s="8" t="n">
        <v>0</v>
      </c>
      <c r="AB266" s="8" t="n">
        <v>0</v>
      </c>
      <c r="AC266" s="8" t="n">
        <v>0</v>
      </c>
      <c r="AD266" s="8" t="n">
        <v>0</v>
      </c>
    </row>
    <row r="267" customFormat="false" ht="15" hidden="false" customHeight="false" outlineLevel="0" collapsed="false">
      <c r="A267" s="38" t="s">
        <v>1928</v>
      </c>
      <c r="B267" s="8" t="s">
        <v>1929</v>
      </c>
      <c r="C267" s="39" t="n">
        <v>996</v>
      </c>
      <c r="D267" s="40" t="n">
        <v>46315</v>
      </c>
      <c r="E267" s="8" t="n">
        <v>21</v>
      </c>
      <c r="F267" s="39" t="n">
        <v>4692</v>
      </c>
      <c r="G267" s="39" t="n">
        <v>253</v>
      </c>
      <c r="H267" s="39" t="n">
        <v>10</v>
      </c>
      <c r="I267" s="39" t="n">
        <v>4</v>
      </c>
      <c r="J267" s="39" t="n">
        <v>15</v>
      </c>
      <c r="K267" s="8" t="s">
        <v>1240</v>
      </c>
      <c r="L267" s="41" t="s">
        <v>1930</v>
      </c>
      <c r="M267" s="42" t="n">
        <f aca="false">IFERROR(I267/F267,0)</f>
        <v>0.000852514919011083</v>
      </c>
      <c r="N267" s="42" t="n">
        <f aca="false">IFERROR(J267/F267,0)</f>
        <v>0.00319693094629156</v>
      </c>
      <c r="O267" s="8" t="n">
        <v>0</v>
      </c>
      <c r="P267" s="8" t="n">
        <v>1</v>
      </c>
      <c r="Q267" s="8" t="n">
        <v>0</v>
      </c>
      <c r="R267" s="8" t="n">
        <v>0</v>
      </c>
      <c r="S267" s="8" t="n">
        <v>0</v>
      </c>
      <c r="T267" s="8" t="n">
        <v>0</v>
      </c>
      <c r="U267" s="8" t="n">
        <v>0</v>
      </c>
      <c r="V267" s="8" t="n">
        <v>0</v>
      </c>
      <c r="W267" s="8" t="n">
        <v>0</v>
      </c>
      <c r="X267" s="8" t="n">
        <v>0</v>
      </c>
      <c r="Y267" s="8" t="n">
        <v>0</v>
      </c>
      <c r="Z267" s="8" t="n">
        <v>1</v>
      </c>
      <c r="AA267" s="8" t="n">
        <v>0</v>
      </c>
      <c r="AB267" s="8" t="n">
        <v>0</v>
      </c>
      <c r="AC267" s="8" t="n">
        <v>0</v>
      </c>
      <c r="AD267" s="8" t="n">
        <v>0</v>
      </c>
    </row>
    <row r="268" customFormat="false" ht="15" hidden="false" customHeight="false" outlineLevel="0" collapsed="false">
      <c r="A268" s="38" t="s">
        <v>1931</v>
      </c>
      <c r="B268" s="8" t="s">
        <v>1330</v>
      </c>
      <c r="C268" s="39" t="n">
        <v>547900</v>
      </c>
      <c r="D268" s="40" t="n">
        <v>46314</v>
      </c>
      <c r="E268" s="8" t="n">
        <v>81</v>
      </c>
      <c r="F268" s="39" t="n">
        <v>4688</v>
      </c>
      <c r="G268" s="39" t="n">
        <v>281</v>
      </c>
      <c r="H268" s="39" t="n">
        <v>13</v>
      </c>
      <c r="I268" s="39" t="n">
        <v>1</v>
      </c>
      <c r="J268" s="39" t="n">
        <v>27</v>
      </c>
      <c r="K268" s="8" t="s">
        <v>1240</v>
      </c>
      <c r="L268" s="41" t="s">
        <v>1809</v>
      </c>
      <c r="M268" s="42" t="n">
        <f aca="false">IFERROR(I268/F268,0)</f>
        <v>0.000213310580204778</v>
      </c>
      <c r="N268" s="42" t="n">
        <f aca="false">IFERROR(J268/F268,0)</f>
        <v>0.00575938566552901</v>
      </c>
      <c r="O268" s="8" t="n">
        <v>0</v>
      </c>
      <c r="P268" s="8" t="n">
        <v>0</v>
      </c>
      <c r="Q268" s="8" t="n">
        <v>0</v>
      </c>
      <c r="R268" s="8" t="n">
        <v>0</v>
      </c>
      <c r="S268" s="8" t="n">
        <v>0</v>
      </c>
      <c r="T268" s="8" t="n">
        <v>0</v>
      </c>
      <c r="U268" s="8" t="n">
        <v>0</v>
      </c>
      <c r="V268" s="8" t="n">
        <v>0</v>
      </c>
      <c r="W268" s="8" t="n">
        <v>0</v>
      </c>
      <c r="X268" s="8" t="n">
        <v>0</v>
      </c>
      <c r="Y268" s="8" t="n">
        <v>0</v>
      </c>
      <c r="Z268" s="8" t="n">
        <v>0</v>
      </c>
      <c r="AA268" s="8" t="n">
        <v>0</v>
      </c>
      <c r="AB268" s="8" t="n">
        <v>0</v>
      </c>
      <c r="AC268" s="8" t="n">
        <v>0</v>
      </c>
      <c r="AD268" s="8" t="n">
        <v>0</v>
      </c>
    </row>
    <row r="269" customFormat="false" ht="15" hidden="false" customHeight="false" outlineLevel="0" collapsed="false">
      <c r="A269" s="38" t="s">
        <v>1932</v>
      </c>
      <c r="B269" s="8" t="s">
        <v>1496</v>
      </c>
      <c r="C269" s="39" t="n">
        <v>12800</v>
      </c>
      <c r="D269" s="40" t="n">
        <v>46310</v>
      </c>
      <c r="E269" s="8" t="n">
        <v>27</v>
      </c>
      <c r="F269" s="39" t="n">
        <v>4578</v>
      </c>
      <c r="G269" s="39" t="n">
        <v>33</v>
      </c>
      <c r="H269" s="39" t="n">
        <v>7</v>
      </c>
      <c r="I269" s="39" t="n">
        <v>6</v>
      </c>
      <c r="J269" s="39" t="n">
        <v>4</v>
      </c>
      <c r="K269" s="8" t="s">
        <v>1243</v>
      </c>
      <c r="L269" s="41" t="s">
        <v>1497</v>
      </c>
      <c r="M269" s="42" t="n">
        <f aca="false">IFERROR(I269/F269,0)</f>
        <v>0.00131061598951507</v>
      </c>
      <c r="N269" s="42" t="n">
        <f aca="false">IFERROR(J269/F269,0)</f>
        <v>0.000873743993010048</v>
      </c>
      <c r="O269" s="8" t="n">
        <v>0</v>
      </c>
      <c r="P269" s="8" t="n">
        <v>0</v>
      </c>
      <c r="Q269" s="8" t="n">
        <v>1</v>
      </c>
      <c r="R269" s="8" t="n">
        <v>0</v>
      </c>
      <c r="S269" s="8" t="n">
        <v>0</v>
      </c>
      <c r="T269" s="8" t="n">
        <v>0</v>
      </c>
      <c r="U269" s="8" t="n">
        <v>1</v>
      </c>
      <c r="V269" s="8" t="n">
        <v>1</v>
      </c>
      <c r="W269" s="8" t="n">
        <v>0</v>
      </c>
      <c r="X269" s="8" t="n">
        <v>0</v>
      </c>
      <c r="Y269" s="8" t="n">
        <v>0</v>
      </c>
      <c r="Z269" s="8" t="n">
        <v>0</v>
      </c>
      <c r="AA269" s="8" t="n">
        <v>0</v>
      </c>
      <c r="AB269" s="8" t="n">
        <v>0</v>
      </c>
      <c r="AC269" s="8" t="n">
        <v>0</v>
      </c>
      <c r="AD269" s="8" t="n">
        <v>0</v>
      </c>
    </row>
    <row r="270" customFormat="false" ht="15" hidden="false" customHeight="false" outlineLevel="0" collapsed="false">
      <c r="A270" s="38" t="s">
        <v>1933</v>
      </c>
      <c r="B270" s="8" t="s">
        <v>1496</v>
      </c>
      <c r="C270" s="39" t="n">
        <v>12800</v>
      </c>
      <c r="D270" s="40" t="n">
        <v>46308</v>
      </c>
      <c r="E270" s="8" t="n">
        <v>27</v>
      </c>
      <c r="F270" s="39" t="n">
        <v>4539</v>
      </c>
      <c r="G270" s="39" t="n">
        <v>23</v>
      </c>
      <c r="H270" s="39" t="n">
        <v>2</v>
      </c>
      <c r="I270" s="39" t="n">
        <v>5</v>
      </c>
      <c r="J270" s="39" t="n">
        <v>0</v>
      </c>
      <c r="K270" s="8" t="s">
        <v>1243</v>
      </c>
      <c r="L270" s="41" t="s">
        <v>1497</v>
      </c>
      <c r="M270" s="42" t="n">
        <f aca="false">IFERROR(I270/F270,0)</f>
        <v>0.0011015642211941</v>
      </c>
      <c r="N270" s="42" t="n">
        <f aca="false">IFERROR(J270/F270,0)</f>
        <v>0</v>
      </c>
      <c r="O270" s="8" t="n">
        <v>0</v>
      </c>
      <c r="P270" s="8" t="n">
        <v>0</v>
      </c>
      <c r="Q270" s="8" t="n">
        <v>1</v>
      </c>
      <c r="R270" s="8" t="n">
        <v>0</v>
      </c>
      <c r="S270" s="8" t="n">
        <v>0</v>
      </c>
      <c r="T270" s="8" t="n">
        <v>0</v>
      </c>
      <c r="U270" s="8" t="n">
        <v>1</v>
      </c>
      <c r="V270" s="8" t="n">
        <v>1</v>
      </c>
      <c r="W270" s="8" t="n">
        <v>0</v>
      </c>
      <c r="X270" s="8" t="n">
        <v>0</v>
      </c>
      <c r="Y270" s="8" t="n">
        <v>0</v>
      </c>
      <c r="Z270" s="8" t="n">
        <v>0</v>
      </c>
      <c r="AA270" s="8" t="n">
        <v>0</v>
      </c>
      <c r="AB270" s="8" t="n">
        <v>0</v>
      </c>
      <c r="AC270" s="8" t="n">
        <v>0</v>
      </c>
      <c r="AD270" s="8" t="n">
        <v>0</v>
      </c>
    </row>
    <row r="271" customFormat="false" ht="15" hidden="false" customHeight="false" outlineLevel="0" collapsed="false">
      <c r="A271" s="38" t="s">
        <v>1934</v>
      </c>
      <c r="B271" s="8" t="s">
        <v>1935</v>
      </c>
      <c r="C271" s="39" t="n">
        <v>3396</v>
      </c>
      <c r="D271" s="40" t="n">
        <v>46234</v>
      </c>
      <c r="E271" s="8" t="n">
        <v>34</v>
      </c>
      <c r="F271" s="39" t="n">
        <v>4443</v>
      </c>
      <c r="G271" s="39" t="n">
        <v>36</v>
      </c>
      <c r="H271" s="39" t="n">
        <v>5</v>
      </c>
      <c r="I271" s="39" t="n">
        <v>12</v>
      </c>
      <c r="J271" s="39" t="n">
        <v>18</v>
      </c>
      <c r="K271" s="8" t="s">
        <v>1240</v>
      </c>
      <c r="L271" s="41" t="s">
        <v>1936</v>
      </c>
      <c r="M271" s="42" t="n">
        <f aca="false">IFERROR(I271/F271,0)</f>
        <v>0.00270087778528022</v>
      </c>
      <c r="N271" s="42" t="n">
        <f aca="false">IFERROR(J271/F271,0)</f>
        <v>0.00405131667792032</v>
      </c>
      <c r="O271" s="8" t="n">
        <v>0</v>
      </c>
      <c r="P271" s="8" t="n">
        <v>0</v>
      </c>
      <c r="Q271" s="8" t="n">
        <v>1</v>
      </c>
      <c r="R271" s="8" t="n">
        <v>0</v>
      </c>
      <c r="S271" s="8" t="n">
        <v>0</v>
      </c>
      <c r="T271" s="8" t="n">
        <v>0</v>
      </c>
      <c r="U271" s="8" t="n">
        <v>0</v>
      </c>
      <c r="V271" s="8" t="n">
        <v>1</v>
      </c>
      <c r="W271" s="8" t="n">
        <v>0</v>
      </c>
      <c r="X271" s="8" t="n">
        <v>1</v>
      </c>
      <c r="Y271" s="8" t="n">
        <v>0</v>
      </c>
      <c r="Z271" s="8" t="n">
        <v>0</v>
      </c>
      <c r="AA271" s="8" t="n">
        <v>0</v>
      </c>
      <c r="AB271" s="8" t="n">
        <v>0</v>
      </c>
      <c r="AC271" s="8" t="n">
        <v>0</v>
      </c>
      <c r="AD271" s="8" t="n">
        <v>1</v>
      </c>
    </row>
    <row r="272" customFormat="false" ht="15" hidden="false" customHeight="false" outlineLevel="0" collapsed="false">
      <c r="A272" s="38" t="s">
        <v>1937</v>
      </c>
      <c r="B272" s="8" t="s">
        <v>1938</v>
      </c>
      <c r="C272" s="39" t="n">
        <v>4642</v>
      </c>
      <c r="D272" s="40" t="n">
        <v>45677</v>
      </c>
      <c r="E272" s="8" t="n">
        <v>21</v>
      </c>
      <c r="F272" s="39" t="n">
        <v>4436</v>
      </c>
      <c r="G272" s="39" t="n">
        <v>60</v>
      </c>
      <c r="H272" s="39" t="n">
        <v>2</v>
      </c>
      <c r="I272" s="39" t="n">
        <v>8</v>
      </c>
      <c r="J272" s="39" t="n">
        <v>7</v>
      </c>
      <c r="K272" s="8" t="s">
        <v>1243</v>
      </c>
      <c r="L272" s="41" t="s">
        <v>1939</v>
      </c>
      <c r="M272" s="42" t="n">
        <f aca="false">IFERROR(I272/F272,0)</f>
        <v>0.0018034265103697</v>
      </c>
      <c r="N272" s="42" t="n">
        <f aca="false">IFERROR(J272/F272,0)</f>
        <v>0.00157799819657349</v>
      </c>
      <c r="O272" s="8" t="n">
        <v>0</v>
      </c>
      <c r="P272" s="8" t="n">
        <v>0</v>
      </c>
      <c r="Q272" s="8" t="n">
        <v>0</v>
      </c>
      <c r="R272" s="8" t="n">
        <v>0</v>
      </c>
      <c r="S272" s="8" t="n">
        <v>0</v>
      </c>
      <c r="T272" s="8" t="n">
        <v>0</v>
      </c>
      <c r="U272" s="8" t="n">
        <v>0</v>
      </c>
      <c r="V272" s="8" t="n">
        <v>0</v>
      </c>
      <c r="W272" s="8" t="n">
        <v>0</v>
      </c>
      <c r="X272" s="8" t="n">
        <v>0</v>
      </c>
      <c r="Y272" s="8" t="n">
        <v>0</v>
      </c>
      <c r="Z272" s="8" t="n">
        <v>0</v>
      </c>
      <c r="AA272" s="8" t="n">
        <v>0</v>
      </c>
      <c r="AB272" s="8" t="n">
        <v>1</v>
      </c>
      <c r="AC272" s="8" t="n">
        <v>0</v>
      </c>
      <c r="AD272" s="8" t="n">
        <v>0</v>
      </c>
    </row>
    <row r="273" customFormat="false" ht="15" hidden="false" customHeight="false" outlineLevel="0" collapsed="false">
      <c r="A273" s="38" t="s">
        <v>1940</v>
      </c>
      <c r="B273" s="8" t="s">
        <v>1513</v>
      </c>
      <c r="C273" s="39" t="n">
        <v>694</v>
      </c>
      <c r="D273" s="40" t="n">
        <v>46152</v>
      </c>
      <c r="E273" s="8" t="n">
        <v>36</v>
      </c>
      <c r="F273" s="39" t="n">
        <v>4239</v>
      </c>
      <c r="G273" s="39" t="n">
        <v>5</v>
      </c>
      <c r="H273" s="39" t="n">
        <v>0</v>
      </c>
      <c r="I273" s="39" t="n">
        <v>0</v>
      </c>
      <c r="J273" s="39" t="n">
        <v>0</v>
      </c>
      <c r="K273" s="8" t="s">
        <v>1243</v>
      </c>
      <c r="L273" s="41" t="s">
        <v>1514</v>
      </c>
      <c r="M273" s="42" t="n">
        <f aca="false">IFERROR(I273/F273,0)</f>
        <v>0</v>
      </c>
      <c r="N273" s="42" t="n">
        <f aca="false">IFERROR(J273/F273,0)</f>
        <v>0</v>
      </c>
      <c r="O273" s="8" t="n">
        <v>0</v>
      </c>
      <c r="P273" s="8" t="n">
        <v>0</v>
      </c>
      <c r="Q273" s="8" t="n">
        <v>1</v>
      </c>
      <c r="R273" s="8" t="n">
        <v>0</v>
      </c>
      <c r="S273" s="8" t="n">
        <v>0</v>
      </c>
      <c r="T273" s="8" t="n">
        <v>1</v>
      </c>
      <c r="U273" s="8" t="n">
        <v>1</v>
      </c>
      <c r="V273" s="8" t="n">
        <v>1</v>
      </c>
      <c r="W273" s="8" t="n">
        <v>1</v>
      </c>
      <c r="X273" s="8" t="n">
        <v>0</v>
      </c>
      <c r="Y273" s="8" t="n">
        <v>0</v>
      </c>
      <c r="Z273" s="8" t="n">
        <v>1</v>
      </c>
      <c r="AA273" s="8" t="n">
        <v>0</v>
      </c>
      <c r="AB273" s="8" t="n">
        <v>0</v>
      </c>
      <c r="AC273" s="8" t="n">
        <v>0</v>
      </c>
      <c r="AD273" s="8" t="n">
        <v>0</v>
      </c>
    </row>
    <row r="274" customFormat="false" ht="15" hidden="false" customHeight="false" outlineLevel="0" collapsed="false">
      <c r="A274" s="38" t="s">
        <v>1941</v>
      </c>
      <c r="B274" s="8" t="s">
        <v>1353</v>
      </c>
      <c r="C274" s="39" t="n">
        <v>12900</v>
      </c>
      <c r="D274" s="40" t="n">
        <v>45774</v>
      </c>
      <c r="E274" s="8" t="n">
        <v>22</v>
      </c>
      <c r="F274" s="39" t="n">
        <v>4172</v>
      </c>
      <c r="G274" s="39" t="n">
        <v>111</v>
      </c>
      <c r="H274" s="39" t="n">
        <v>7</v>
      </c>
      <c r="I274" s="39" t="n">
        <v>3</v>
      </c>
      <c r="J274" s="39" t="n">
        <v>8</v>
      </c>
      <c r="K274" s="8" t="s">
        <v>1243</v>
      </c>
      <c r="L274" s="41" t="s">
        <v>1942</v>
      </c>
      <c r="M274" s="42" t="n">
        <f aca="false">IFERROR(I274/F274,0)</f>
        <v>0.000719079578139981</v>
      </c>
      <c r="N274" s="42" t="n">
        <f aca="false">IFERROR(J274/F274,0)</f>
        <v>0.00191754554170662</v>
      </c>
      <c r="O274" s="8" t="n">
        <v>1</v>
      </c>
      <c r="P274" s="8" t="n">
        <v>1</v>
      </c>
      <c r="Q274" s="8" t="n">
        <v>0</v>
      </c>
      <c r="R274" s="8" t="n">
        <v>0</v>
      </c>
      <c r="S274" s="8" t="n">
        <v>0</v>
      </c>
      <c r="T274" s="8" t="n">
        <v>0</v>
      </c>
      <c r="U274" s="8" t="n">
        <v>0</v>
      </c>
      <c r="V274" s="8" t="n">
        <v>0</v>
      </c>
      <c r="W274" s="8" t="n">
        <v>0</v>
      </c>
      <c r="X274" s="8" t="n">
        <v>0</v>
      </c>
      <c r="Y274" s="8" t="n">
        <v>1</v>
      </c>
      <c r="Z274" s="8" t="n">
        <v>0</v>
      </c>
      <c r="AA274" s="8" t="n">
        <v>0</v>
      </c>
      <c r="AB274" s="8" t="n">
        <v>0</v>
      </c>
      <c r="AC274" s="8" t="n">
        <v>0</v>
      </c>
      <c r="AD274" s="8" t="n">
        <v>0</v>
      </c>
    </row>
    <row r="275" customFormat="false" ht="15" hidden="false" customHeight="false" outlineLevel="0" collapsed="false">
      <c r="A275" s="38" t="s">
        <v>1943</v>
      </c>
      <c r="B275" s="8" t="s">
        <v>1944</v>
      </c>
      <c r="C275" s="39" t="n">
        <v>4629</v>
      </c>
      <c r="D275" s="40" t="n">
        <v>46074</v>
      </c>
      <c r="E275" s="8" t="n">
        <v>147</v>
      </c>
      <c r="F275" s="39" t="n">
        <v>4136</v>
      </c>
      <c r="G275" s="39" t="n">
        <v>278</v>
      </c>
      <c r="H275" s="39" t="n">
        <v>4</v>
      </c>
      <c r="I275" s="39" t="n">
        <v>8</v>
      </c>
      <c r="J275" s="39" t="n">
        <v>14</v>
      </c>
      <c r="K275" s="8" t="s">
        <v>1243</v>
      </c>
      <c r="L275" s="41" t="s">
        <v>1945</v>
      </c>
      <c r="M275" s="42" t="n">
        <f aca="false">IFERROR(I275/F275,0)</f>
        <v>0.00193423597678917</v>
      </c>
      <c r="N275" s="42" t="n">
        <f aca="false">IFERROR(J275/F275,0)</f>
        <v>0.00338491295938104</v>
      </c>
      <c r="O275" s="8" t="n">
        <v>1</v>
      </c>
      <c r="P275" s="8" t="n">
        <v>0</v>
      </c>
      <c r="Q275" s="8" t="n">
        <v>0</v>
      </c>
      <c r="R275" s="8" t="n">
        <v>0</v>
      </c>
      <c r="S275" s="8" t="n">
        <v>0</v>
      </c>
      <c r="T275" s="8" t="n">
        <v>0</v>
      </c>
      <c r="U275" s="8" t="n">
        <v>0</v>
      </c>
      <c r="V275" s="8" t="n">
        <v>0</v>
      </c>
      <c r="W275" s="8" t="n">
        <v>0</v>
      </c>
      <c r="X275" s="8" t="n">
        <v>0</v>
      </c>
      <c r="Y275" s="8" t="n">
        <v>0</v>
      </c>
      <c r="Z275" s="8" t="n">
        <v>0</v>
      </c>
      <c r="AA275" s="8" t="n">
        <v>0</v>
      </c>
      <c r="AB275" s="8" t="n">
        <v>0</v>
      </c>
      <c r="AC275" s="8" t="n">
        <v>0</v>
      </c>
      <c r="AD275" s="8" t="n">
        <v>0</v>
      </c>
    </row>
    <row r="276" customFormat="false" ht="15" hidden="false" customHeight="false" outlineLevel="0" collapsed="false">
      <c r="A276" s="38" t="s">
        <v>1946</v>
      </c>
      <c r="B276" s="8" t="s">
        <v>1625</v>
      </c>
      <c r="C276" s="39" t="n">
        <v>5882</v>
      </c>
      <c r="D276" s="40" t="n">
        <v>46161</v>
      </c>
      <c r="E276" s="8" t="n">
        <v>30</v>
      </c>
      <c r="F276" s="39" t="n">
        <v>4086</v>
      </c>
      <c r="G276" s="39" t="n">
        <v>164</v>
      </c>
      <c r="H276" s="39" t="n">
        <v>2</v>
      </c>
      <c r="I276" s="39" t="n">
        <v>15</v>
      </c>
      <c r="J276" s="39" t="n">
        <v>32</v>
      </c>
      <c r="K276" s="8" t="s">
        <v>1240</v>
      </c>
      <c r="L276" s="41" t="s">
        <v>1947</v>
      </c>
      <c r="M276" s="42" t="n">
        <f aca="false">IFERROR(I276/F276,0)</f>
        <v>0.00367107195301028</v>
      </c>
      <c r="N276" s="42" t="n">
        <f aca="false">IFERROR(J276/F276,0)</f>
        <v>0.00783162016642193</v>
      </c>
      <c r="O276" s="8" t="n">
        <v>0</v>
      </c>
      <c r="P276" s="8" t="n">
        <v>0</v>
      </c>
      <c r="Q276" s="8" t="n">
        <v>0</v>
      </c>
      <c r="R276" s="8" t="n">
        <v>0</v>
      </c>
      <c r="S276" s="8" t="n">
        <v>0</v>
      </c>
      <c r="T276" s="8" t="n">
        <v>0</v>
      </c>
      <c r="U276" s="8" t="n">
        <v>0</v>
      </c>
      <c r="V276" s="8" t="n">
        <v>0</v>
      </c>
      <c r="W276" s="8" t="n">
        <v>0</v>
      </c>
      <c r="X276" s="8" t="n">
        <v>0</v>
      </c>
      <c r="Y276" s="8" t="n">
        <v>0</v>
      </c>
      <c r="Z276" s="8" t="n">
        <v>0</v>
      </c>
      <c r="AA276" s="8" t="n">
        <v>0</v>
      </c>
      <c r="AB276" s="8" t="n">
        <v>0</v>
      </c>
      <c r="AC276" s="8" t="n">
        <v>0</v>
      </c>
      <c r="AD276" s="8" t="n">
        <v>0</v>
      </c>
    </row>
    <row r="277" customFormat="false" ht="15" hidden="false" customHeight="false" outlineLevel="0" collapsed="false">
      <c r="A277" s="38" t="s">
        <v>1948</v>
      </c>
      <c r="B277" s="8" t="s">
        <v>1949</v>
      </c>
      <c r="C277" s="39" t="n">
        <v>5101</v>
      </c>
      <c r="D277" s="40" t="n">
        <v>46232</v>
      </c>
      <c r="E277" s="8" t="n">
        <v>27</v>
      </c>
      <c r="F277" s="39" t="n">
        <v>4065</v>
      </c>
      <c r="G277" s="39" t="n">
        <v>104</v>
      </c>
      <c r="H277" s="39" t="n">
        <v>29</v>
      </c>
      <c r="I277" s="39" t="n">
        <v>3</v>
      </c>
      <c r="J277" s="39" t="n">
        <v>9</v>
      </c>
      <c r="K277" s="8" t="s">
        <v>1243</v>
      </c>
      <c r="L277" s="41" t="s">
        <v>1950</v>
      </c>
      <c r="M277" s="42" t="n">
        <f aca="false">IFERROR(I277/F277,0)</f>
        <v>0.000738007380073801</v>
      </c>
      <c r="N277" s="42" t="n">
        <f aca="false">IFERROR(J277/F277,0)</f>
        <v>0.0022140221402214</v>
      </c>
      <c r="O277" s="8" t="n">
        <v>1</v>
      </c>
      <c r="P277" s="8" t="n">
        <v>0</v>
      </c>
      <c r="Q277" s="8" t="n">
        <v>1</v>
      </c>
      <c r="R277" s="8" t="n">
        <v>0</v>
      </c>
      <c r="S277" s="8" t="n">
        <v>0</v>
      </c>
      <c r="T277" s="8" t="n">
        <v>0</v>
      </c>
      <c r="U277" s="8" t="n">
        <v>0</v>
      </c>
      <c r="V277" s="8" t="n">
        <v>0</v>
      </c>
      <c r="W277" s="8" t="n">
        <v>0</v>
      </c>
      <c r="X277" s="8" t="n">
        <v>0</v>
      </c>
      <c r="Y277" s="8" t="n">
        <v>0</v>
      </c>
      <c r="Z277" s="8" t="n">
        <v>0</v>
      </c>
      <c r="AA277" s="8" t="n">
        <v>0</v>
      </c>
      <c r="AB277" s="8" t="n">
        <v>0</v>
      </c>
      <c r="AC277" s="8" t="n">
        <v>0</v>
      </c>
      <c r="AD277" s="8" t="n">
        <v>0</v>
      </c>
    </row>
    <row r="278" customFormat="false" ht="15" hidden="false" customHeight="false" outlineLevel="0" collapsed="false">
      <c r="A278" s="38" t="s">
        <v>1951</v>
      </c>
      <c r="B278" s="8" t="s">
        <v>1952</v>
      </c>
      <c r="C278" s="39" t="n">
        <v>2703</v>
      </c>
      <c r="D278" s="40" t="n">
        <v>46222</v>
      </c>
      <c r="E278" s="8" t="n">
        <v>91</v>
      </c>
      <c r="F278" s="39" t="n">
        <v>4030</v>
      </c>
      <c r="G278" s="39" t="n">
        <v>68</v>
      </c>
      <c r="H278" s="39" t="n">
        <v>7</v>
      </c>
      <c r="I278" s="39" t="n">
        <v>19</v>
      </c>
      <c r="J278" s="39" t="n">
        <v>51</v>
      </c>
      <c r="K278" s="8" t="s">
        <v>1240</v>
      </c>
      <c r="L278" s="41" t="s">
        <v>1953</v>
      </c>
      <c r="M278" s="42" t="n">
        <f aca="false">IFERROR(I278/F278,0)</f>
        <v>0.00471464019851117</v>
      </c>
      <c r="N278" s="42" t="n">
        <f aca="false">IFERROR(J278/F278,0)</f>
        <v>0.0126550868486352</v>
      </c>
      <c r="O278" s="8" t="n">
        <v>0</v>
      </c>
      <c r="P278" s="8" t="n">
        <v>0</v>
      </c>
      <c r="Q278" s="8" t="n">
        <v>0</v>
      </c>
      <c r="R278" s="8" t="n">
        <v>0</v>
      </c>
      <c r="S278" s="8" t="n">
        <v>0</v>
      </c>
      <c r="T278" s="8" t="n">
        <v>0</v>
      </c>
      <c r="U278" s="8" t="n">
        <v>0</v>
      </c>
      <c r="V278" s="8" t="n">
        <v>1</v>
      </c>
      <c r="W278" s="8" t="n">
        <v>1</v>
      </c>
      <c r="X278" s="8" t="n">
        <v>0</v>
      </c>
      <c r="Y278" s="8" t="n">
        <v>0</v>
      </c>
      <c r="Z278" s="8" t="n">
        <v>0</v>
      </c>
      <c r="AA278" s="8" t="n">
        <v>0</v>
      </c>
      <c r="AB278" s="8" t="n">
        <v>0</v>
      </c>
      <c r="AC278" s="8" t="n">
        <v>0</v>
      </c>
      <c r="AD278" s="8" t="n">
        <v>1</v>
      </c>
    </row>
    <row r="279" customFormat="false" ht="15" hidden="false" customHeight="false" outlineLevel="0" collapsed="false">
      <c r="A279" s="38" t="s">
        <v>1954</v>
      </c>
      <c r="B279" s="8" t="s">
        <v>1955</v>
      </c>
      <c r="C279" s="39" t="n">
        <v>2994</v>
      </c>
      <c r="D279" s="40" t="n">
        <v>46308</v>
      </c>
      <c r="E279" s="8" t="n">
        <v>37</v>
      </c>
      <c r="F279" s="39" t="n">
        <v>4004</v>
      </c>
      <c r="G279" s="39" t="n">
        <v>130</v>
      </c>
      <c r="H279" s="39" t="n">
        <v>2</v>
      </c>
      <c r="I279" s="39" t="n">
        <v>2</v>
      </c>
      <c r="J279" s="39" t="n">
        <v>20</v>
      </c>
      <c r="K279" s="8" t="s">
        <v>1243</v>
      </c>
      <c r="L279" s="41" t="s">
        <v>1956</v>
      </c>
      <c r="M279" s="42" t="n">
        <f aca="false">IFERROR(I279/F279,0)</f>
        <v>0.0004995004995005</v>
      </c>
      <c r="N279" s="42" t="n">
        <f aca="false">IFERROR(J279/F279,0)</f>
        <v>0.004995004995005</v>
      </c>
      <c r="O279" s="8" t="n">
        <v>1</v>
      </c>
      <c r="P279" s="8" t="n">
        <v>0</v>
      </c>
      <c r="Q279" s="8" t="n">
        <v>1</v>
      </c>
      <c r="R279" s="8" t="n">
        <v>1</v>
      </c>
      <c r="S279" s="8" t="n">
        <v>0</v>
      </c>
      <c r="T279" s="8" t="n">
        <v>0</v>
      </c>
      <c r="U279" s="8" t="n">
        <v>0</v>
      </c>
      <c r="V279" s="8" t="n">
        <v>0</v>
      </c>
      <c r="W279" s="8" t="n">
        <v>0</v>
      </c>
      <c r="X279" s="8" t="n">
        <v>1</v>
      </c>
      <c r="Y279" s="8" t="n">
        <v>1</v>
      </c>
      <c r="Z279" s="8" t="n">
        <v>0</v>
      </c>
      <c r="AA279" s="8" t="n">
        <v>0</v>
      </c>
      <c r="AB279" s="8" t="n">
        <v>0</v>
      </c>
      <c r="AC279" s="8" t="n">
        <v>0</v>
      </c>
      <c r="AD279" s="8" t="n">
        <v>0</v>
      </c>
    </row>
    <row r="280" customFormat="false" ht="15" hidden="false" customHeight="false" outlineLevel="0" collapsed="false">
      <c r="A280" s="38" t="s">
        <v>1957</v>
      </c>
      <c r="B280" s="8" t="s">
        <v>1330</v>
      </c>
      <c r="C280" s="39" t="n">
        <v>547900</v>
      </c>
      <c r="D280" s="40" t="n">
        <v>46316</v>
      </c>
      <c r="E280" s="8" t="n">
        <v>59</v>
      </c>
      <c r="F280" s="39" t="n">
        <v>3995</v>
      </c>
      <c r="G280" s="39" t="n">
        <v>266</v>
      </c>
      <c r="H280" s="39" t="n">
        <v>16</v>
      </c>
      <c r="I280" s="39" t="n">
        <v>0</v>
      </c>
      <c r="J280" s="39" t="n">
        <v>21</v>
      </c>
      <c r="K280" s="8" t="s">
        <v>1240</v>
      </c>
      <c r="L280" s="41" t="s">
        <v>1331</v>
      </c>
      <c r="M280" s="42" t="n">
        <f aca="false">IFERROR(I280/F280,0)</f>
        <v>0</v>
      </c>
      <c r="N280" s="42" t="n">
        <f aca="false">IFERROR(J280/F280,0)</f>
        <v>0.00525657071339174</v>
      </c>
      <c r="O280" s="8" t="n">
        <v>0</v>
      </c>
      <c r="P280" s="8" t="n">
        <v>0</v>
      </c>
      <c r="Q280" s="8" t="n">
        <v>0</v>
      </c>
      <c r="R280" s="8" t="n">
        <v>0</v>
      </c>
      <c r="S280" s="8" t="n">
        <v>0</v>
      </c>
      <c r="T280" s="8" t="n">
        <v>0</v>
      </c>
      <c r="U280" s="8" t="n">
        <v>0</v>
      </c>
      <c r="V280" s="8" t="n">
        <v>0</v>
      </c>
      <c r="W280" s="8" t="n">
        <v>0</v>
      </c>
      <c r="X280" s="8" t="n">
        <v>0</v>
      </c>
      <c r="Y280" s="8" t="n">
        <v>0</v>
      </c>
      <c r="Z280" s="8" t="n">
        <v>0</v>
      </c>
      <c r="AA280" s="8" t="n">
        <v>0</v>
      </c>
      <c r="AB280" s="8" t="n">
        <v>0</v>
      </c>
      <c r="AC280" s="8" t="n">
        <v>0</v>
      </c>
      <c r="AD280" s="8" t="n">
        <v>0</v>
      </c>
    </row>
    <row r="281" customFormat="false" ht="15" hidden="false" customHeight="false" outlineLevel="0" collapsed="false">
      <c r="A281" s="38" t="s">
        <v>1958</v>
      </c>
      <c r="B281" s="8" t="s">
        <v>1496</v>
      </c>
      <c r="C281" s="39" t="n">
        <v>12800</v>
      </c>
      <c r="D281" s="40" t="n">
        <v>46313</v>
      </c>
      <c r="E281" s="8" t="n">
        <v>42</v>
      </c>
      <c r="F281" s="39" t="n">
        <v>3987</v>
      </c>
      <c r="G281" s="39" t="n">
        <v>20</v>
      </c>
      <c r="H281" s="39" t="n">
        <v>4</v>
      </c>
      <c r="I281" s="39" t="n">
        <v>26</v>
      </c>
      <c r="J281" s="39" t="n">
        <v>10</v>
      </c>
      <c r="K281" s="8" t="s">
        <v>1243</v>
      </c>
      <c r="L281" s="41" t="s">
        <v>1497</v>
      </c>
      <c r="M281" s="42" t="n">
        <f aca="false">IFERROR(I281/F281,0)</f>
        <v>0.00652119388011036</v>
      </c>
      <c r="N281" s="42" t="n">
        <f aca="false">IFERROR(J281/F281,0)</f>
        <v>0.00250815149235014</v>
      </c>
      <c r="O281" s="8" t="n">
        <v>0</v>
      </c>
      <c r="P281" s="8" t="n">
        <v>0</v>
      </c>
      <c r="Q281" s="8" t="n">
        <v>1</v>
      </c>
      <c r="R281" s="8" t="n">
        <v>0</v>
      </c>
      <c r="S281" s="8" t="n">
        <v>0</v>
      </c>
      <c r="T281" s="8" t="n">
        <v>0</v>
      </c>
      <c r="U281" s="8" t="n">
        <v>1</v>
      </c>
      <c r="V281" s="8" t="n">
        <v>1</v>
      </c>
      <c r="W281" s="8" t="n">
        <v>0</v>
      </c>
      <c r="X281" s="8" t="n">
        <v>0</v>
      </c>
      <c r="Y281" s="8" t="n">
        <v>0</v>
      </c>
      <c r="Z281" s="8" t="n">
        <v>0</v>
      </c>
      <c r="AA281" s="8" t="n">
        <v>0</v>
      </c>
      <c r="AB281" s="8" t="n">
        <v>0</v>
      </c>
      <c r="AC281" s="8" t="n">
        <v>0</v>
      </c>
      <c r="AD281" s="8" t="n">
        <v>0</v>
      </c>
    </row>
    <row r="282" customFormat="false" ht="15" hidden="false" customHeight="false" outlineLevel="0" collapsed="false">
      <c r="A282" s="38" t="s">
        <v>1959</v>
      </c>
      <c r="B282" s="8" t="s">
        <v>1960</v>
      </c>
      <c r="C282" s="39" t="n">
        <v>42</v>
      </c>
      <c r="D282" s="40" t="n">
        <v>45158</v>
      </c>
      <c r="E282" s="8" t="n">
        <v>13</v>
      </c>
      <c r="F282" s="39" t="n">
        <v>3938</v>
      </c>
      <c r="G282" s="39" t="n">
        <v>19</v>
      </c>
      <c r="H282" s="39" t="n">
        <v>1</v>
      </c>
      <c r="I282" s="39" t="n">
        <v>5</v>
      </c>
      <c r="J282" s="39" t="n">
        <v>2</v>
      </c>
      <c r="K282" s="8" t="s">
        <v>1240</v>
      </c>
      <c r="L282" s="41" t="s">
        <v>1961</v>
      </c>
      <c r="M282" s="42" t="n">
        <f aca="false">IFERROR(I282/F282,0)</f>
        <v>0.00126968004062976</v>
      </c>
      <c r="N282" s="42" t="n">
        <f aca="false">IFERROR(J282/F282,0)</f>
        <v>0.000507872016251905</v>
      </c>
      <c r="O282" s="8" t="n">
        <v>0</v>
      </c>
      <c r="P282" s="8" t="n">
        <v>0</v>
      </c>
      <c r="Q282" s="8" t="n">
        <v>0</v>
      </c>
      <c r="R282" s="8" t="n">
        <v>0</v>
      </c>
      <c r="S282" s="8" t="n">
        <v>0</v>
      </c>
      <c r="T282" s="8" t="n">
        <v>1</v>
      </c>
      <c r="U282" s="8" t="n">
        <v>0</v>
      </c>
      <c r="V282" s="8" t="n">
        <v>0</v>
      </c>
      <c r="W282" s="8" t="n">
        <v>1</v>
      </c>
      <c r="X282" s="8" t="n">
        <v>1</v>
      </c>
      <c r="Y282" s="8" t="n">
        <v>0</v>
      </c>
      <c r="Z282" s="8" t="n">
        <v>0</v>
      </c>
      <c r="AA282" s="8" t="n">
        <v>0</v>
      </c>
      <c r="AB282" s="8" t="n">
        <v>0</v>
      </c>
      <c r="AC282" s="8" t="n">
        <v>0</v>
      </c>
      <c r="AD282" s="8" t="n">
        <v>0</v>
      </c>
    </row>
    <row r="283" customFormat="false" ht="15" hidden="false" customHeight="false" outlineLevel="0" collapsed="false">
      <c r="A283" s="38" t="s">
        <v>1962</v>
      </c>
      <c r="B283" s="8" t="s">
        <v>1963</v>
      </c>
      <c r="C283" s="39" t="n">
        <v>34200</v>
      </c>
      <c r="D283" s="40" t="n">
        <v>46308</v>
      </c>
      <c r="E283" s="8" t="n">
        <v>104</v>
      </c>
      <c r="F283" s="39" t="n">
        <v>3915</v>
      </c>
      <c r="G283" s="39" t="n">
        <v>229</v>
      </c>
      <c r="H283" s="39" t="n">
        <v>26</v>
      </c>
      <c r="I283" s="39" t="n">
        <v>2</v>
      </c>
      <c r="J283" s="39" t="n">
        <v>13</v>
      </c>
      <c r="K283" s="8" t="s">
        <v>1240</v>
      </c>
      <c r="L283" s="41" t="s">
        <v>1964</v>
      </c>
      <c r="M283" s="42" t="n">
        <f aca="false">IFERROR(I283/F283,0)</f>
        <v>0.000510855683269476</v>
      </c>
      <c r="N283" s="42" t="n">
        <f aca="false">IFERROR(J283/F283,0)</f>
        <v>0.0033205619412516</v>
      </c>
      <c r="O283" s="8" t="n">
        <v>0</v>
      </c>
      <c r="P283" s="8" t="n">
        <v>0</v>
      </c>
      <c r="Q283" s="8" t="n">
        <v>0</v>
      </c>
      <c r="R283" s="8" t="n">
        <v>0</v>
      </c>
      <c r="S283" s="8" t="n">
        <v>0</v>
      </c>
      <c r="T283" s="8" t="n">
        <v>0</v>
      </c>
      <c r="U283" s="8" t="n">
        <v>0</v>
      </c>
      <c r="V283" s="8" t="n">
        <v>0</v>
      </c>
      <c r="W283" s="8" t="n">
        <v>0</v>
      </c>
      <c r="X283" s="8" t="n">
        <v>0</v>
      </c>
      <c r="Y283" s="8" t="n">
        <v>0</v>
      </c>
      <c r="Z283" s="8" t="n">
        <v>0</v>
      </c>
      <c r="AA283" s="8" t="n">
        <v>0</v>
      </c>
      <c r="AB283" s="8" t="n">
        <v>0</v>
      </c>
      <c r="AC283" s="8" t="n">
        <v>0</v>
      </c>
      <c r="AD283" s="8" t="n">
        <v>0</v>
      </c>
    </row>
    <row r="284" customFormat="false" ht="15" hidden="false" customHeight="false" outlineLevel="0" collapsed="false">
      <c r="A284" s="38" t="s">
        <v>1965</v>
      </c>
      <c r="B284" s="8" t="s">
        <v>1952</v>
      </c>
      <c r="C284" s="39" t="n">
        <v>2703</v>
      </c>
      <c r="D284" s="40" t="n">
        <v>46209</v>
      </c>
      <c r="E284" s="8" t="n">
        <v>53</v>
      </c>
      <c r="F284" s="39" t="n">
        <v>3814</v>
      </c>
      <c r="G284" s="39" t="n">
        <v>50</v>
      </c>
      <c r="H284" s="39" t="n">
        <v>10</v>
      </c>
      <c r="I284" s="39" t="n">
        <v>17</v>
      </c>
      <c r="J284" s="39" t="n">
        <v>31</v>
      </c>
      <c r="K284" s="8" t="s">
        <v>1240</v>
      </c>
      <c r="L284" s="41" t="s">
        <v>1966</v>
      </c>
      <c r="M284" s="42" t="n">
        <f aca="false">IFERROR(I284/F284,0)</f>
        <v>0.00445726271630834</v>
      </c>
      <c r="N284" s="42" t="n">
        <f aca="false">IFERROR(J284/F284,0)</f>
        <v>0.0081279496591505</v>
      </c>
      <c r="O284" s="8" t="n">
        <v>0</v>
      </c>
      <c r="P284" s="8" t="n">
        <v>0</v>
      </c>
      <c r="Q284" s="8" t="n">
        <v>0</v>
      </c>
      <c r="R284" s="8" t="n">
        <v>0</v>
      </c>
      <c r="S284" s="8" t="n">
        <v>0</v>
      </c>
      <c r="T284" s="8" t="n">
        <v>0</v>
      </c>
      <c r="U284" s="8" t="n">
        <v>0</v>
      </c>
      <c r="V284" s="8" t="n">
        <v>1</v>
      </c>
      <c r="W284" s="8" t="n">
        <v>1</v>
      </c>
      <c r="X284" s="8" t="n">
        <v>0</v>
      </c>
      <c r="Y284" s="8" t="n">
        <v>0</v>
      </c>
      <c r="Z284" s="8" t="n">
        <v>0</v>
      </c>
      <c r="AA284" s="8" t="n">
        <v>0</v>
      </c>
      <c r="AB284" s="8" t="n">
        <v>0</v>
      </c>
      <c r="AC284" s="8" t="n">
        <v>1</v>
      </c>
      <c r="AD284" s="8" t="n">
        <v>0</v>
      </c>
    </row>
    <row r="285" customFormat="false" ht="15" hidden="false" customHeight="false" outlineLevel="0" collapsed="false">
      <c r="A285" s="38" t="s">
        <v>1967</v>
      </c>
      <c r="B285" s="8" t="s">
        <v>1968</v>
      </c>
      <c r="C285" s="39" t="n">
        <v>10900</v>
      </c>
      <c r="D285" s="40" t="n">
        <v>46174</v>
      </c>
      <c r="E285" s="8" t="n">
        <v>14</v>
      </c>
      <c r="F285" s="39" t="n">
        <v>3659</v>
      </c>
      <c r="G285" s="39" t="n">
        <v>175</v>
      </c>
      <c r="H285" s="39" t="n">
        <v>3</v>
      </c>
      <c r="I285" s="39" t="n">
        <v>1</v>
      </c>
      <c r="J285" s="39" t="n">
        <v>21</v>
      </c>
      <c r="K285" s="8" t="s">
        <v>1240</v>
      </c>
      <c r="L285" s="41" t="s">
        <v>1969</v>
      </c>
      <c r="M285" s="42" t="n">
        <f aca="false">IFERROR(I285/F285,0)</f>
        <v>0.000273298715496037</v>
      </c>
      <c r="N285" s="42" t="n">
        <f aca="false">IFERROR(J285/F285,0)</f>
        <v>0.00573927302541678</v>
      </c>
      <c r="O285" s="8" t="n">
        <v>0</v>
      </c>
      <c r="P285" s="8" t="n">
        <v>0</v>
      </c>
      <c r="Q285" s="8" t="n">
        <v>0</v>
      </c>
      <c r="R285" s="8" t="n">
        <v>0</v>
      </c>
      <c r="S285" s="8" t="n">
        <v>0</v>
      </c>
      <c r="T285" s="8" t="n">
        <v>0</v>
      </c>
      <c r="U285" s="8" t="n">
        <v>0</v>
      </c>
      <c r="V285" s="8" t="n">
        <v>1</v>
      </c>
      <c r="W285" s="8" t="n">
        <v>0</v>
      </c>
      <c r="X285" s="8" t="n">
        <v>0</v>
      </c>
      <c r="Y285" s="8" t="n">
        <v>0</v>
      </c>
      <c r="Z285" s="8" t="n">
        <v>0</v>
      </c>
      <c r="AA285" s="8" t="n">
        <v>0</v>
      </c>
      <c r="AB285" s="8" t="n">
        <v>0</v>
      </c>
      <c r="AC285" s="8" t="n">
        <v>0</v>
      </c>
      <c r="AD285" s="8" t="n">
        <v>0</v>
      </c>
    </row>
    <row r="286" customFormat="false" ht="15" hidden="false" customHeight="false" outlineLevel="0" collapsed="false">
      <c r="A286" s="38" t="s">
        <v>1970</v>
      </c>
      <c r="B286" s="8" t="s">
        <v>1971</v>
      </c>
      <c r="C286" s="39" t="n">
        <v>101300</v>
      </c>
      <c r="D286" s="40" t="n">
        <v>46090</v>
      </c>
      <c r="E286" s="8" t="n">
        <v>34</v>
      </c>
      <c r="F286" s="39" t="n">
        <v>3646</v>
      </c>
      <c r="G286" s="39" t="n">
        <v>87</v>
      </c>
      <c r="H286" s="39" t="n">
        <v>8</v>
      </c>
      <c r="I286" s="39" t="n">
        <v>35</v>
      </c>
      <c r="J286" s="39" t="n">
        <v>16</v>
      </c>
      <c r="K286" s="8" t="s">
        <v>1243</v>
      </c>
      <c r="L286" s="41" t="s">
        <v>1972</v>
      </c>
      <c r="M286" s="42" t="n">
        <f aca="false">IFERROR(I286/F286,0)</f>
        <v>0.00959956116291827</v>
      </c>
      <c r="N286" s="42" t="n">
        <f aca="false">IFERROR(J286/F286,0)</f>
        <v>0.00438837081733407</v>
      </c>
      <c r="O286" s="8" t="n">
        <v>1</v>
      </c>
      <c r="P286" s="8" t="n">
        <v>0</v>
      </c>
      <c r="Q286" s="8" t="n">
        <v>0</v>
      </c>
      <c r="R286" s="8" t="n">
        <v>1</v>
      </c>
      <c r="S286" s="8" t="n">
        <v>0</v>
      </c>
      <c r="T286" s="8" t="n">
        <v>0</v>
      </c>
      <c r="U286" s="8" t="n">
        <v>0</v>
      </c>
      <c r="V286" s="8" t="n">
        <v>0</v>
      </c>
      <c r="W286" s="8" t="n">
        <v>0</v>
      </c>
      <c r="X286" s="8" t="n">
        <v>0</v>
      </c>
      <c r="Y286" s="8" t="n">
        <v>0</v>
      </c>
      <c r="Z286" s="8" t="n">
        <v>0</v>
      </c>
      <c r="AA286" s="8" t="n">
        <v>0</v>
      </c>
      <c r="AB286" s="8" t="n">
        <v>0</v>
      </c>
      <c r="AC286" s="8" t="n">
        <v>0</v>
      </c>
      <c r="AD286" s="8" t="n">
        <v>0</v>
      </c>
    </row>
    <row r="287" customFormat="false" ht="15" hidden="false" customHeight="false" outlineLevel="0" collapsed="false">
      <c r="A287" s="38" t="s">
        <v>1973</v>
      </c>
      <c r="B287" s="8" t="s">
        <v>1353</v>
      </c>
      <c r="C287" s="39" t="n">
        <v>12900</v>
      </c>
      <c r="D287" s="40" t="n">
        <v>45707</v>
      </c>
      <c r="E287" s="8" t="n">
        <v>44</v>
      </c>
      <c r="F287" s="39" t="n">
        <v>3631</v>
      </c>
      <c r="G287" s="39" t="n">
        <v>77</v>
      </c>
      <c r="H287" s="39" t="n">
        <v>18</v>
      </c>
      <c r="I287" s="39" t="n">
        <v>13</v>
      </c>
      <c r="J287" s="39" t="n">
        <v>12</v>
      </c>
      <c r="K287" s="8" t="s">
        <v>1243</v>
      </c>
      <c r="L287" s="41" t="s">
        <v>1698</v>
      </c>
      <c r="M287" s="42" t="n">
        <f aca="false">IFERROR(I287/F287,0)</f>
        <v>0.00358028091434866</v>
      </c>
      <c r="N287" s="42" t="n">
        <f aca="false">IFERROR(J287/F287,0)</f>
        <v>0.003304874690168</v>
      </c>
      <c r="O287" s="8" t="n">
        <v>0</v>
      </c>
      <c r="P287" s="8" t="n">
        <v>1</v>
      </c>
      <c r="Q287" s="8" t="n">
        <v>0</v>
      </c>
      <c r="R287" s="8" t="n">
        <v>0</v>
      </c>
      <c r="S287" s="8" t="n">
        <v>0</v>
      </c>
      <c r="T287" s="8" t="n">
        <v>0</v>
      </c>
      <c r="U287" s="8" t="n">
        <v>0</v>
      </c>
      <c r="V287" s="8" t="n">
        <v>0</v>
      </c>
      <c r="W287" s="8" t="n">
        <v>0</v>
      </c>
      <c r="X287" s="8" t="n">
        <v>0</v>
      </c>
      <c r="Y287" s="8" t="n">
        <v>1</v>
      </c>
      <c r="Z287" s="8" t="n">
        <v>0</v>
      </c>
      <c r="AA287" s="8" t="n">
        <v>0</v>
      </c>
      <c r="AB287" s="8" t="n">
        <v>0</v>
      </c>
      <c r="AC287" s="8" t="n">
        <v>0</v>
      </c>
      <c r="AD287" s="8" t="n">
        <v>0</v>
      </c>
    </row>
    <row r="288" customFormat="false" ht="15" hidden="false" customHeight="false" outlineLevel="0" collapsed="false">
      <c r="A288" s="38" t="s">
        <v>1974</v>
      </c>
      <c r="B288" s="8" t="s">
        <v>1975</v>
      </c>
      <c r="C288" s="39" t="n">
        <v>114</v>
      </c>
      <c r="D288" s="40" t="n">
        <v>46106</v>
      </c>
      <c r="E288" s="8" t="n">
        <v>38</v>
      </c>
      <c r="F288" s="39" t="n">
        <v>3421</v>
      </c>
      <c r="G288" s="39" t="n">
        <v>23</v>
      </c>
      <c r="H288" s="39" t="n">
        <v>2</v>
      </c>
      <c r="I288" s="39" t="n">
        <v>1</v>
      </c>
      <c r="J288" s="39" t="n">
        <v>6</v>
      </c>
      <c r="K288" s="8" t="s">
        <v>1240</v>
      </c>
      <c r="L288" s="41" t="s">
        <v>1976</v>
      </c>
      <c r="M288" s="42" t="n">
        <f aca="false">IFERROR(I288/F288,0)</f>
        <v>0.000292312189418299</v>
      </c>
      <c r="N288" s="42" t="n">
        <f aca="false">IFERROR(J288/F288,0)</f>
        <v>0.00175387313650979</v>
      </c>
      <c r="O288" s="8" t="n">
        <v>0</v>
      </c>
      <c r="P288" s="8" t="n">
        <v>0</v>
      </c>
      <c r="Q288" s="8" t="n">
        <v>0</v>
      </c>
      <c r="R288" s="8" t="n">
        <v>0</v>
      </c>
      <c r="S288" s="8" t="n">
        <v>0</v>
      </c>
      <c r="T288" s="8" t="n">
        <v>1</v>
      </c>
      <c r="U288" s="8" t="n">
        <v>0</v>
      </c>
      <c r="V288" s="8" t="n">
        <v>0</v>
      </c>
      <c r="W288" s="8" t="n">
        <v>1</v>
      </c>
      <c r="X288" s="8" t="n">
        <v>1</v>
      </c>
      <c r="Y288" s="8" t="n">
        <v>0</v>
      </c>
      <c r="Z288" s="8" t="n">
        <v>0</v>
      </c>
      <c r="AA288" s="8" t="n">
        <v>0</v>
      </c>
      <c r="AB288" s="8" t="n">
        <v>0</v>
      </c>
      <c r="AC288" s="8" t="n">
        <v>0</v>
      </c>
      <c r="AD288" s="8" t="n">
        <v>0</v>
      </c>
    </row>
    <row r="289" customFormat="false" ht="15" hidden="false" customHeight="false" outlineLevel="0" collapsed="false">
      <c r="A289" s="38" t="s">
        <v>1977</v>
      </c>
      <c r="B289" s="8" t="s">
        <v>1978</v>
      </c>
      <c r="C289" s="39" t="n">
        <v>267900</v>
      </c>
      <c r="D289" s="40" t="n">
        <v>46042</v>
      </c>
      <c r="E289" s="8" t="n">
        <v>26</v>
      </c>
      <c r="F289" s="39" t="n">
        <v>3409</v>
      </c>
      <c r="G289" s="39" t="n">
        <v>93</v>
      </c>
      <c r="H289" s="39" t="n">
        <v>2</v>
      </c>
      <c r="I289" s="39" t="n">
        <v>14</v>
      </c>
      <c r="J289" s="39" t="n">
        <v>11</v>
      </c>
      <c r="K289" s="8" t="s">
        <v>1240</v>
      </c>
      <c r="L289" s="41" t="s">
        <v>1979</v>
      </c>
      <c r="M289" s="42" t="n">
        <f aca="false">IFERROR(I289/F289,0)</f>
        <v>0.00410677618069815</v>
      </c>
      <c r="N289" s="42" t="n">
        <f aca="false">IFERROR(J289/F289,0)</f>
        <v>0.00322675271340569</v>
      </c>
      <c r="O289" s="8" t="n">
        <v>0</v>
      </c>
      <c r="P289" s="8" t="n">
        <v>0</v>
      </c>
      <c r="Q289" s="8" t="n">
        <v>0</v>
      </c>
      <c r="R289" s="8" t="n">
        <v>0</v>
      </c>
      <c r="S289" s="8" t="n">
        <v>0</v>
      </c>
      <c r="T289" s="8" t="n">
        <v>0</v>
      </c>
      <c r="U289" s="8" t="n">
        <v>0</v>
      </c>
      <c r="V289" s="8" t="n">
        <v>0</v>
      </c>
      <c r="W289" s="8" t="n">
        <v>0</v>
      </c>
      <c r="X289" s="8" t="n">
        <v>0</v>
      </c>
      <c r="Y289" s="8" t="n">
        <v>0</v>
      </c>
      <c r="Z289" s="8" t="n">
        <v>0</v>
      </c>
      <c r="AA289" s="8" t="n">
        <v>0</v>
      </c>
      <c r="AB289" s="8" t="n">
        <v>0</v>
      </c>
      <c r="AC289" s="8" t="n">
        <v>0</v>
      </c>
      <c r="AD289" s="8" t="n">
        <v>0</v>
      </c>
    </row>
    <row r="290" customFormat="false" ht="15" hidden="false" customHeight="false" outlineLevel="0" collapsed="false">
      <c r="A290" s="38" t="s">
        <v>1980</v>
      </c>
      <c r="B290" s="8" t="s">
        <v>1981</v>
      </c>
      <c r="C290" s="39" t="n">
        <v>1800</v>
      </c>
      <c r="D290" s="40" t="n">
        <v>46230</v>
      </c>
      <c r="E290" s="8" t="n">
        <v>18</v>
      </c>
      <c r="F290" s="39" t="n">
        <v>3375</v>
      </c>
      <c r="G290" s="39" t="n">
        <v>109</v>
      </c>
      <c r="H290" s="39" t="n">
        <v>5</v>
      </c>
      <c r="I290" s="39" t="n">
        <v>5</v>
      </c>
      <c r="J290" s="39" t="n">
        <v>7</v>
      </c>
      <c r="K290" s="8" t="s">
        <v>1240</v>
      </c>
      <c r="L290" s="41"/>
      <c r="M290" s="42" t="n">
        <f aca="false">IFERROR(I290/F290,0)</f>
        <v>0.00148148148148148</v>
      </c>
      <c r="N290" s="42" t="n">
        <f aca="false">IFERROR(J290/F290,0)</f>
        <v>0.00207407407407407</v>
      </c>
      <c r="O290" s="8" t="n">
        <v>0</v>
      </c>
      <c r="P290" s="8" t="n">
        <v>1</v>
      </c>
      <c r="Q290" s="8" t="n">
        <v>0</v>
      </c>
      <c r="R290" s="8" t="n">
        <v>0</v>
      </c>
      <c r="S290" s="8" t="n">
        <v>0</v>
      </c>
      <c r="T290" s="8" t="n">
        <v>0</v>
      </c>
      <c r="U290" s="8" t="n">
        <v>0</v>
      </c>
      <c r="V290" s="8" t="n">
        <v>0</v>
      </c>
      <c r="W290" s="8" t="n">
        <v>0</v>
      </c>
      <c r="X290" s="8" t="n">
        <v>0</v>
      </c>
      <c r="Y290" s="8" t="n">
        <v>0</v>
      </c>
      <c r="Z290" s="8" t="n">
        <v>0</v>
      </c>
      <c r="AA290" s="8" t="n">
        <v>0</v>
      </c>
      <c r="AB290" s="8" t="n">
        <v>0</v>
      </c>
      <c r="AC290" s="8" t="n">
        <v>0</v>
      </c>
      <c r="AD290" s="8" t="n">
        <v>0</v>
      </c>
    </row>
    <row r="291" customFormat="false" ht="15" hidden="false" customHeight="false" outlineLevel="0" collapsed="false">
      <c r="A291" s="38" t="s">
        <v>1982</v>
      </c>
      <c r="B291" s="8" t="s">
        <v>1983</v>
      </c>
      <c r="C291" s="39" t="n">
        <v>1769</v>
      </c>
      <c r="D291" s="40" t="n">
        <v>46118</v>
      </c>
      <c r="E291" s="8" t="n">
        <v>19</v>
      </c>
      <c r="F291" s="39" t="n">
        <v>3338</v>
      </c>
      <c r="G291" s="39" t="n">
        <v>29</v>
      </c>
      <c r="H291" s="39" t="n">
        <v>1</v>
      </c>
      <c r="I291" s="39" t="n">
        <v>5</v>
      </c>
      <c r="J291" s="39" t="n">
        <v>1</v>
      </c>
      <c r="K291" s="8" t="s">
        <v>1240</v>
      </c>
      <c r="L291" s="41" t="s">
        <v>1984</v>
      </c>
      <c r="M291" s="42" t="n">
        <f aca="false">IFERROR(I291/F291,0)</f>
        <v>0.00149790293588975</v>
      </c>
      <c r="N291" s="42" t="n">
        <f aca="false">IFERROR(J291/F291,0)</f>
        <v>0.000299580587177951</v>
      </c>
      <c r="O291" s="8" t="n">
        <v>0</v>
      </c>
      <c r="P291" s="8" t="n">
        <v>0</v>
      </c>
      <c r="Q291" s="8" t="n">
        <v>0</v>
      </c>
      <c r="R291" s="8" t="n">
        <v>0</v>
      </c>
      <c r="S291" s="8" t="n">
        <v>0</v>
      </c>
      <c r="T291" s="8" t="n">
        <v>1</v>
      </c>
      <c r="U291" s="8" t="n">
        <v>0</v>
      </c>
      <c r="V291" s="8" t="n">
        <v>0</v>
      </c>
      <c r="W291" s="8" t="n">
        <v>0</v>
      </c>
      <c r="X291" s="8" t="n">
        <v>1</v>
      </c>
      <c r="Y291" s="8" t="n">
        <v>0</v>
      </c>
      <c r="Z291" s="8" t="n">
        <v>0</v>
      </c>
      <c r="AA291" s="8" t="n">
        <v>0</v>
      </c>
      <c r="AB291" s="8" t="n">
        <v>0</v>
      </c>
      <c r="AC291" s="8" t="n">
        <v>0</v>
      </c>
      <c r="AD291" s="8" t="n">
        <v>1</v>
      </c>
    </row>
    <row r="292" customFormat="false" ht="15" hidden="false" customHeight="false" outlineLevel="0" collapsed="false">
      <c r="A292" s="38" t="s">
        <v>1985</v>
      </c>
      <c r="B292" s="8" t="s">
        <v>1896</v>
      </c>
      <c r="C292" s="39" t="n">
        <v>14000</v>
      </c>
      <c r="D292" s="40" t="n">
        <v>45090</v>
      </c>
      <c r="E292" s="8" t="n">
        <v>58</v>
      </c>
      <c r="F292" s="39" t="n">
        <v>3267</v>
      </c>
      <c r="G292" s="39" t="n">
        <v>18</v>
      </c>
      <c r="H292" s="39" t="n">
        <v>0</v>
      </c>
      <c r="I292" s="39" t="n">
        <v>10</v>
      </c>
      <c r="J292" s="39" t="n">
        <v>4</v>
      </c>
      <c r="K292" s="8" t="s">
        <v>1240</v>
      </c>
      <c r="L292" s="41" t="s">
        <v>1986</v>
      </c>
      <c r="M292" s="42" t="n">
        <f aca="false">IFERROR(I292/F292,0)</f>
        <v>0.00306091215182124</v>
      </c>
      <c r="N292" s="42" t="n">
        <f aca="false">IFERROR(J292/F292,0)</f>
        <v>0.0012243648607285</v>
      </c>
      <c r="O292" s="8" t="n">
        <v>0</v>
      </c>
      <c r="P292" s="8" t="n">
        <v>0</v>
      </c>
      <c r="Q292" s="8" t="n">
        <v>0</v>
      </c>
      <c r="R292" s="8" t="n">
        <v>0</v>
      </c>
      <c r="S292" s="8" t="n">
        <v>0</v>
      </c>
      <c r="T292" s="8" t="n">
        <v>1</v>
      </c>
      <c r="U292" s="8" t="n">
        <v>0</v>
      </c>
      <c r="V292" s="8" t="n">
        <v>0</v>
      </c>
      <c r="W292" s="8" t="n">
        <v>0</v>
      </c>
      <c r="X292" s="8" t="n">
        <v>1</v>
      </c>
      <c r="Y292" s="8" t="n">
        <v>0</v>
      </c>
      <c r="Z292" s="8" t="n">
        <v>0</v>
      </c>
      <c r="AA292" s="8" t="n">
        <v>0</v>
      </c>
      <c r="AB292" s="8" t="n">
        <v>0</v>
      </c>
      <c r="AC292" s="8" t="n">
        <v>0</v>
      </c>
      <c r="AD292" s="8" t="n">
        <v>0</v>
      </c>
    </row>
    <row r="293" customFormat="false" ht="15" hidden="false" customHeight="false" outlineLevel="0" collapsed="false">
      <c r="A293" s="38" t="s">
        <v>1987</v>
      </c>
      <c r="B293" s="8" t="s">
        <v>1799</v>
      </c>
      <c r="C293" s="39" t="n">
        <v>12500</v>
      </c>
      <c r="D293" s="40" t="n">
        <v>45912</v>
      </c>
      <c r="E293" s="8" t="n">
        <v>61</v>
      </c>
      <c r="F293" s="39" t="n">
        <v>3251</v>
      </c>
      <c r="G293" s="39" t="n">
        <v>63</v>
      </c>
      <c r="H293" s="39" t="n">
        <v>6</v>
      </c>
      <c r="I293" s="39" t="n">
        <v>6</v>
      </c>
      <c r="J293" s="39" t="n">
        <v>6</v>
      </c>
      <c r="K293" s="8" t="s">
        <v>1240</v>
      </c>
      <c r="L293" s="41" t="s">
        <v>1988</v>
      </c>
      <c r="M293" s="42" t="n">
        <f aca="false">IFERROR(I293/F293,0)</f>
        <v>0.0018455859735466</v>
      </c>
      <c r="N293" s="42" t="n">
        <f aca="false">IFERROR(J293/F293,0)</f>
        <v>0.0018455859735466</v>
      </c>
      <c r="O293" s="8" t="n">
        <v>0</v>
      </c>
      <c r="P293" s="8" t="n">
        <v>0</v>
      </c>
      <c r="Q293" s="8" t="n">
        <v>0</v>
      </c>
      <c r="R293" s="8" t="n">
        <v>0</v>
      </c>
      <c r="S293" s="8" t="n">
        <v>0</v>
      </c>
      <c r="T293" s="8" t="n">
        <v>1</v>
      </c>
      <c r="U293" s="8" t="n">
        <v>0</v>
      </c>
      <c r="V293" s="8" t="n">
        <v>0</v>
      </c>
      <c r="W293" s="8" t="n">
        <v>0</v>
      </c>
      <c r="X293" s="8" t="n">
        <v>1</v>
      </c>
      <c r="Y293" s="8" t="n">
        <v>0</v>
      </c>
      <c r="Z293" s="8" t="n">
        <v>0</v>
      </c>
      <c r="AA293" s="8" t="n">
        <v>0</v>
      </c>
      <c r="AB293" s="8" t="n">
        <v>0</v>
      </c>
      <c r="AC293" s="8" t="n">
        <v>1</v>
      </c>
      <c r="AD293" s="8" t="n">
        <v>0</v>
      </c>
    </row>
    <row r="294" customFormat="false" ht="15" hidden="false" customHeight="false" outlineLevel="0" collapsed="false">
      <c r="A294" s="38" t="s">
        <v>1989</v>
      </c>
      <c r="B294" s="8" t="s">
        <v>1990</v>
      </c>
      <c r="C294" s="39" t="n">
        <v>945</v>
      </c>
      <c r="D294" s="40" t="n">
        <v>46090</v>
      </c>
      <c r="E294" s="8" t="n">
        <v>24</v>
      </c>
      <c r="F294" s="39" t="n">
        <v>3229</v>
      </c>
      <c r="G294" s="39" t="n">
        <v>34</v>
      </c>
      <c r="H294" s="39" t="n">
        <v>2</v>
      </c>
      <c r="I294" s="39" t="n">
        <v>7</v>
      </c>
      <c r="J294" s="39" t="n">
        <v>11</v>
      </c>
      <c r="K294" s="8" t="s">
        <v>1243</v>
      </c>
      <c r="L294" s="41" t="s">
        <v>1991</v>
      </c>
      <c r="M294" s="42" t="n">
        <f aca="false">IFERROR(I294/F294,0)</f>
        <v>0.00216785382471353</v>
      </c>
      <c r="N294" s="42" t="n">
        <f aca="false">IFERROR(J294/F294,0)</f>
        <v>0.00340662743883555</v>
      </c>
      <c r="O294" s="8" t="n">
        <v>0</v>
      </c>
      <c r="P294" s="8" t="n">
        <v>0</v>
      </c>
      <c r="Q294" s="8" t="n">
        <v>0</v>
      </c>
      <c r="R294" s="8" t="n">
        <v>0</v>
      </c>
      <c r="S294" s="8" t="n">
        <v>0</v>
      </c>
      <c r="T294" s="8" t="n">
        <v>0</v>
      </c>
      <c r="U294" s="8" t="n">
        <v>0</v>
      </c>
      <c r="V294" s="8" t="n">
        <v>0</v>
      </c>
      <c r="W294" s="8" t="n">
        <v>0</v>
      </c>
      <c r="X294" s="8" t="n">
        <v>0</v>
      </c>
      <c r="Y294" s="8" t="n">
        <v>0</v>
      </c>
      <c r="Z294" s="8" t="n">
        <v>0</v>
      </c>
      <c r="AA294" s="8" t="n">
        <v>0</v>
      </c>
      <c r="AB294" s="8" t="n">
        <v>1</v>
      </c>
      <c r="AC294" s="8" t="n">
        <v>0</v>
      </c>
      <c r="AD294" s="8" t="n">
        <v>0</v>
      </c>
    </row>
    <row r="295" customFormat="false" ht="15" hidden="false" customHeight="false" outlineLevel="0" collapsed="false">
      <c r="A295" s="38" t="s">
        <v>1992</v>
      </c>
      <c r="B295" s="8" t="s">
        <v>1993</v>
      </c>
      <c r="C295" s="39" t="n">
        <v>4067</v>
      </c>
      <c r="D295" s="40" t="n">
        <v>46065</v>
      </c>
      <c r="E295" s="8" t="n">
        <v>18</v>
      </c>
      <c r="F295" s="39" t="n">
        <v>3214</v>
      </c>
      <c r="G295" s="39" t="n">
        <v>84</v>
      </c>
      <c r="H295" s="39" t="n">
        <v>10</v>
      </c>
      <c r="I295" s="39" t="n">
        <v>2</v>
      </c>
      <c r="J295" s="39" t="n">
        <v>4</v>
      </c>
      <c r="K295" s="8" t="s">
        <v>1240</v>
      </c>
      <c r="L295" s="41" t="s">
        <v>1994</v>
      </c>
      <c r="M295" s="42" t="n">
        <f aca="false">IFERROR(I295/F295,0)</f>
        <v>0.000622277535780958</v>
      </c>
      <c r="N295" s="42" t="n">
        <f aca="false">IFERROR(J295/F295,0)</f>
        <v>0.00124455507156192</v>
      </c>
      <c r="O295" s="8" t="n">
        <v>1</v>
      </c>
      <c r="P295" s="8" t="n">
        <v>0</v>
      </c>
      <c r="Q295" s="8" t="n">
        <v>0</v>
      </c>
      <c r="R295" s="8" t="n">
        <v>0</v>
      </c>
      <c r="S295" s="8" t="n">
        <v>0</v>
      </c>
      <c r="T295" s="8" t="n">
        <v>1</v>
      </c>
      <c r="U295" s="8" t="n">
        <v>0</v>
      </c>
      <c r="V295" s="8" t="n">
        <v>0</v>
      </c>
      <c r="W295" s="8" t="n">
        <v>0</v>
      </c>
      <c r="X295" s="8" t="n">
        <v>1</v>
      </c>
      <c r="Y295" s="8" t="n">
        <v>0</v>
      </c>
      <c r="Z295" s="8" t="n">
        <v>0</v>
      </c>
      <c r="AA295" s="8" t="n">
        <v>0</v>
      </c>
      <c r="AB295" s="8" t="n">
        <v>0</v>
      </c>
      <c r="AC295" s="8" t="n">
        <v>0</v>
      </c>
      <c r="AD295" s="8" t="n">
        <v>0</v>
      </c>
    </row>
    <row r="296" customFormat="false" ht="15" hidden="false" customHeight="false" outlineLevel="0" collapsed="false">
      <c r="A296" s="38" t="s">
        <v>1995</v>
      </c>
      <c r="B296" s="8" t="s">
        <v>1996</v>
      </c>
      <c r="C296" s="39" t="n">
        <v>3887</v>
      </c>
      <c r="D296" s="40" t="n">
        <v>46229</v>
      </c>
      <c r="E296" s="8" t="n">
        <v>59</v>
      </c>
      <c r="F296" s="39" t="n">
        <v>3213</v>
      </c>
      <c r="G296" s="39" t="n">
        <v>110</v>
      </c>
      <c r="H296" s="39" t="n">
        <v>3</v>
      </c>
      <c r="I296" s="39" t="n">
        <v>12</v>
      </c>
      <c r="J296" s="39" t="n">
        <v>8</v>
      </c>
      <c r="K296" s="8" t="s">
        <v>1243</v>
      </c>
      <c r="L296" s="41" t="s">
        <v>1997</v>
      </c>
      <c r="M296" s="42" t="n">
        <f aca="false">IFERROR(I296/F296,0)</f>
        <v>0.00373482726423903</v>
      </c>
      <c r="N296" s="42" t="n">
        <f aca="false">IFERROR(J296/F296,0)</f>
        <v>0.00248988484282602</v>
      </c>
      <c r="O296" s="8" t="n">
        <v>0</v>
      </c>
      <c r="P296" s="8" t="n">
        <v>1</v>
      </c>
      <c r="Q296" s="8" t="n">
        <v>0</v>
      </c>
      <c r="R296" s="8" t="n">
        <v>0</v>
      </c>
      <c r="S296" s="8" t="n">
        <v>0</v>
      </c>
      <c r="T296" s="8" t="n">
        <v>0</v>
      </c>
      <c r="U296" s="8" t="n">
        <v>0</v>
      </c>
      <c r="V296" s="8" t="n">
        <v>0</v>
      </c>
      <c r="W296" s="8" t="n">
        <v>0</v>
      </c>
      <c r="X296" s="8" t="n">
        <v>0</v>
      </c>
      <c r="Y296" s="8" t="n">
        <v>0</v>
      </c>
      <c r="Z296" s="8" t="n">
        <v>0</v>
      </c>
      <c r="AA296" s="8" t="n">
        <v>0</v>
      </c>
      <c r="AB296" s="8" t="n">
        <v>0</v>
      </c>
      <c r="AC296" s="8" t="n">
        <v>0</v>
      </c>
      <c r="AD296" s="8" t="n">
        <v>0</v>
      </c>
    </row>
    <row r="297" customFormat="false" ht="15" hidden="false" customHeight="false" outlineLevel="0" collapsed="false">
      <c r="A297" s="38" t="s">
        <v>1998</v>
      </c>
      <c r="B297" s="8" t="s">
        <v>1999</v>
      </c>
      <c r="C297" s="39" t="n">
        <v>45</v>
      </c>
      <c r="D297" s="40" t="n">
        <v>45113</v>
      </c>
      <c r="E297" s="8" t="n">
        <v>63</v>
      </c>
      <c r="F297" s="39" t="n">
        <v>3186</v>
      </c>
      <c r="G297" s="39" t="n">
        <v>13</v>
      </c>
      <c r="H297" s="39" t="n">
        <v>0</v>
      </c>
      <c r="I297" s="39" t="n">
        <v>6</v>
      </c>
      <c r="J297" s="39" t="n">
        <v>5</v>
      </c>
      <c r="K297" s="8" t="s">
        <v>1240</v>
      </c>
      <c r="L297" s="41" t="s">
        <v>2000</v>
      </c>
      <c r="M297" s="42" t="n">
        <f aca="false">IFERROR(I297/F297,0)</f>
        <v>0.00188323917137476</v>
      </c>
      <c r="N297" s="42" t="n">
        <f aca="false">IFERROR(J297/F297,0)</f>
        <v>0.00156936597614564</v>
      </c>
      <c r="O297" s="8" t="n">
        <v>0</v>
      </c>
      <c r="P297" s="8" t="n">
        <v>1</v>
      </c>
      <c r="Q297" s="8" t="n">
        <v>0</v>
      </c>
      <c r="R297" s="8" t="n">
        <v>0</v>
      </c>
      <c r="S297" s="8" t="n">
        <v>0</v>
      </c>
      <c r="T297" s="8" t="n">
        <v>1</v>
      </c>
      <c r="U297" s="8" t="n">
        <v>0</v>
      </c>
      <c r="V297" s="8" t="n">
        <v>0</v>
      </c>
      <c r="W297" s="8" t="n">
        <v>0</v>
      </c>
      <c r="X297" s="8" t="n">
        <v>0</v>
      </c>
      <c r="Y297" s="8" t="n">
        <v>0</v>
      </c>
      <c r="Z297" s="8" t="n">
        <v>0</v>
      </c>
      <c r="AA297" s="8" t="n">
        <v>0</v>
      </c>
      <c r="AB297" s="8" t="n">
        <v>0</v>
      </c>
      <c r="AC297" s="8" t="n">
        <v>0</v>
      </c>
      <c r="AD297" s="8" t="n">
        <v>1</v>
      </c>
    </row>
    <row r="298" customFormat="false" ht="15" hidden="false" customHeight="false" outlineLevel="0" collapsed="false">
      <c r="A298" s="38" t="s">
        <v>2001</v>
      </c>
      <c r="B298" s="8" t="s">
        <v>1353</v>
      </c>
      <c r="C298" s="39" t="n">
        <v>12900</v>
      </c>
      <c r="D298" s="40" t="n">
        <v>45768</v>
      </c>
      <c r="E298" s="8" t="n">
        <v>32</v>
      </c>
      <c r="F298" s="39" t="n">
        <v>3183</v>
      </c>
      <c r="G298" s="39" t="n">
        <v>78</v>
      </c>
      <c r="H298" s="39" t="n">
        <v>7</v>
      </c>
      <c r="I298" s="39" t="n">
        <v>8</v>
      </c>
      <c r="J298" s="39" t="n">
        <v>7</v>
      </c>
      <c r="K298" s="8" t="s">
        <v>1243</v>
      </c>
      <c r="L298" s="41" t="s">
        <v>2002</v>
      </c>
      <c r="M298" s="42" t="n">
        <f aca="false">IFERROR(I298/F298,0)</f>
        <v>0.00251335218347471</v>
      </c>
      <c r="N298" s="42" t="n">
        <f aca="false">IFERROR(J298/F298,0)</f>
        <v>0.00219918316054037</v>
      </c>
      <c r="O298" s="8" t="n">
        <v>0</v>
      </c>
      <c r="P298" s="8" t="n">
        <v>1</v>
      </c>
      <c r="Q298" s="8" t="n">
        <v>0</v>
      </c>
      <c r="R298" s="8" t="n">
        <v>0</v>
      </c>
      <c r="S298" s="8" t="n">
        <v>0</v>
      </c>
      <c r="T298" s="8" t="n">
        <v>0</v>
      </c>
      <c r="U298" s="8" t="n">
        <v>0</v>
      </c>
      <c r="V298" s="8" t="n">
        <v>0</v>
      </c>
      <c r="W298" s="8" t="n">
        <v>0</v>
      </c>
      <c r="X298" s="8" t="n">
        <v>0</v>
      </c>
      <c r="Y298" s="8" t="n">
        <v>1</v>
      </c>
      <c r="Z298" s="8" t="n">
        <v>0</v>
      </c>
      <c r="AA298" s="8" t="n">
        <v>0</v>
      </c>
      <c r="AB298" s="8" t="n">
        <v>0</v>
      </c>
      <c r="AC298" s="8" t="n">
        <v>0</v>
      </c>
      <c r="AD298" s="8" t="n">
        <v>0</v>
      </c>
    </row>
    <row r="299" customFormat="false" ht="15" hidden="false" customHeight="false" outlineLevel="0" collapsed="false">
      <c r="A299" s="38" t="s">
        <v>2003</v>
      </c>
      <c r="B299" s="8" t="s">
        <v>1935</v>
      </c>
      <c r="C299" s="39" t="n">
        <v>3396</v>
      </c>
      <c r="D299" s="40" t="n">
        <v>46310</v>
      </c>
      <c r="E299" s="8" t="n">
        <v>73</v>
      </c>
      <c r="F299" s="39" t="n">
        <v>3174</v>
      </c>
      <c r="G299" s="39" t="n">
        <v>31</v>
      </c>
      <c r="H299" s="39" t="n">
        <v>2</v>
      </c>
      <c r="I299" s="39" t="n">
        <v>13</v>
      </c>
      <c r="J299" s="39" t="n">
        <v>19</v>
      </c>
      <c r="K299" s="8" t="s">
        <v>1240</v>
      </c>
      <c r="L299" s="41" t="s">
        <v>2004</v>
      </c>
      <c r="M299" s="42" t="n">
        <f aca="false">IFERROR(I299/F299,0)</f>
        <v>0.00409577819785759</v>
      </c>
      <c r="N299" s="42" t="n">
        <f aca="false">IFERROR(J299/F299,0)</f>
        <v>0.00598613736609956</v>
      </c>
      <c r="O299" s="8" t="n">
        <v>0</v>
      </c>
      <c r="P299" s="8" t="n">
        <v>0</v>
      </c>
      <c r="Q299" s="8" t="n">
        <v>1</v>
      </c>
      <c r="R299" s="8" t="n">
        <v>0</v>
      </c>
      <c r="S299" s="8" t="n">
        <v>0</v>
      </c>
      <c r="T299" s="8" t="n">
        <v>0</v>
      </c>
      <c r="U299" s="8" t="n">
        <v>0</v>
      </c>
      <c r="V299" s="8" t="n">
        <v>1</v>
      </c>
      <c r="W299" s="8" t="n">
        <v>0</v>
      </c>
      <c r="X299" s="8" t="n">
        <v>0</v>
      </c>
      <c r="Y299" s="8" t="n">
        <v>0</v>
      </c>
      <c r="Z299" s="8" t="n">
        <v>0</v>
      </c>
      <c r="AA299" s="8" t="n">
        <v>0</v>
      </c>
      <c r="AB299" s="8" t="n">
        <v>0</v>
      </c>
      <c r="AC299" s="8" t="n">
        <v>0</v>
      </c>
      <c r="AD299" s="8" t="n">
        <v>1</v>
      </c>
    </row>
    <row r="300" customFormat="false" ht="15" hidden="false" customHeight="false" outlineLevel="0" collapsed="false">
      <c r="A300" s="38" t="s">
        <v>2005</v>
      </c>
      <c r="B300" s="8" t="s">
        <v>2006</v>
      </c>
      <c r="C300" s="39" t="n">
        <v>55</v>
      </c>
      <c r="D300" s="40" t="n">
        <v>45406</v>
      </c>
      <c r="E300" s="8" t="n">
        <v>44</v>
      </c>
      <c r="F300" s="39" t="n">
        <v>3147</v>
      </c>
      <c r="G300" s="39" t="n">
        <v>20</v>
      </c>
      <c r="H300" s="39" t="n">
        <v>0</v>
      </c>
      <c r="I300" s="39" t="n">
        <v>4</v>
      </c>
      <c r="J300" s="39" t="n">
        <v>4</v>
      </c>
      <c r="K300" s="8" t="s">
        <v>1240</v>
      </c>
      <c r="L300" s="41" t="s">
        <v>2007</v>
      </c>
      <c r="M300" s="42" t="n">
        <f aca="false">IFERROR(I300/F300,0)</f>
        <v>0.00127105179536066</v>
      </c>
      <c r="N300" s="42" t="n">
        <f aca="false">IFERROR(J300/F300,0)</f>
        <v>0.00127105179536066</v>
      </c>
      <c r="O300" s="8" t="n">
        <v>0</v>
      </c>
      <c r="P300" s="8" t="n">
        <v>1</v>
      </c>
      <c r="Q300" s="8" t="n">
        <v>0</v>
      </c>
      <c r="R300" s="8" t="n">
        <v>0</v>
      </c>
      <c r="S300" s="8" t="n">
        <v>0</v>
      </c>
      <c r="T300" s="8" t="n">
        <v>0</v>
      </c>
      <c r="U300" s="8" t="n">
        <v>0</v>
      </c>
      <c r="V300" s="8" t="n">
        <v>0</v>
      </c>
      <c r="W300" s="8" t="n">
        <v>0</v>
      </c>
      <c r="X300" s="8" t="n">
        <v>0</v>
      </c>
      <c r="Y300" s="8" t="n">
        <v>0</v>
      </c>
      <c r="Z300" s="8" t="n">
        <v>0</v>
      </c>
      <c r="AA300" s="8" t="n">
        <v>0</v>
      </c>
      <c r="AB300" s="8" t="n">
        <v>0</v>
      </c>
      <c r="AC300" s="8" t="n">
        <v>0</v>
      </c>
      <c r="AD300" s="8" t="n">
        <v>0</v>
      </c>
    </row>
    <row r="301" customFormat="false" ht="15" hidden="false" customHeight="false" outlineLevel="0" collapsed="false">
      <c r="A301" s="38" t="s">
        <v>2008</v>
      </c>
      <c r="B301" s="8" t="s">
        <v>2009</v>
      </c>
      <c r="C301" s="39" t="n">
        <v>139</v>
      </c>
      <c r="D301" s="40" t="n">
        <v>46310</v>
      </c>
      <c r="E301" s="8" t="n">
        <v>29</v>
      </c>
      <c r="F301" s="39" t="n">
        <v>3125</v>
      </c>
      <c r="G301" s="39" t="n">
        <v>82</v>
      </c>
      <c r="H301" s="39" t="n">
        <v>0</v>
      </c>
      <c r="I301" s="39" t="n">
        <v>8</v>
      </c>
      <c r="J301" s="39" t="n">
        <v>7</v>
      </c>
      <c r="K301" s="8" t="s">
        <v>1243</v>
      </c>
      <c r="L301" s="41" t="s">
        <v>2010</v>
      </c>
      <c r="M301" s="42" t="n">
        <f aca="false">IFERROR(I301/F301,0)</f>
        <v>0.00256</v>
      </c>
      <c r="N301" s="42" t="n">
        <f aca="false">IFERROR(J301/F301,0)</f>
        <v>0.00224</v>
      </c>
      <c r="O301" s="8" t="n">
        <v>0</v>
      </c>
      <c r="P301" s="8" t="n">
        <v>1</v>
      </c>
      <c r="Q301" s="8" t="n">
        <v>0</v>
      </c>
      <c r="R301" s="8" t="n">
        <v>0</v>
      </c>
      <c r="S301" s="8" t="n">
        <v>0</v>
      </c>
      <c r="T301" s="8" t="n">
        <v>0</v>
      </c>
      <c r="U301" s="8" t="n">
        <v>0</v>
      </c>
      <c r="V301" s="8" t="n">
        <v>0</v>
      </c>
      <c r="W301" s="8" t="n">
        <v>0</v>
      </c>
      <c r="X301" s="8" t="n">
        <v>0</v>
      </c>
      <c r="Y301" s="8" t="n">
        <v>0</v>
      </c>
      <c r="Z301" s="8" t="n">
        <v>0</v>
      </c>
      <c r="AA301" s="8" t="n">
        <v>0</v>
      </c>
      <c r="AB301" s="8" t="n">
        <v>0</v>
      </c>
      <c r="AC301" s="8" t="n">
        <v>0</v>
      </c>
      <c r="AD301" s="8" t="n">
        <v>0</v>
      </c>
    </row>
    <row r="302" customFormat="false" ht="15" hidden="false" customHeight="false" outlineLevel="0" collapsed="false">
      <c r="A302" s="38" t="s">
        <v>2011</v>
      </c>
      <c r="B302" s="8" t="s">
        <v>1462</v>
      </c>
      <c r="C302" s="39" t="n">
        <v>22200</v>
      </c>
      <c r="D302" s="40" t="n">
        <v>46253</v>
      </c>
      <c r="E302" s="8" t="n">
        <v>18</v>
      </c>
      <c r="F302" s="39" t="n">
        <v>2926</v>
      </c>
      <c r="G302" s="39" t="n">
        <v>58</v>
      </c>
      <c r="H302" s="39" t="n">
        <v>0</v>
      </c>
      <c r="I302" s="39" t="n">
        <v>1</v>
      </c>
      <c r="J302" s="39" t="n">
        <v>2</v>
      </c>
      <c r="K302" s="8" t="s">
        <v>1240</v>
      </c>
      <c r="L302" s="41" t="s">
        <v>2012</v>
      </c>
      <c r="M302" s="42" t="n">
        <f aca="false">IFERROR(I302/F302,0)</f>
        <v>0.000341763499658237</v>
      </c>
      <c r="N302" s="42" t="n">
        <f aca="false">IFERROR(J302/F302,0)</f>
        <v>0.000683526999316473</v>
      </c>
      <c r="O302" s="8" t="n">
        <v>0</v>
      </c>
      <c r="P302" s="8" t="n">
        <v>0</v>
      </c>
      <c r="Q302" s="8" t="n">
        <v>0</v>
      </c>
      <c r="R302" s="8" t="n">
        <v>0</v>
      </c>
      <c r="S302" s="8" t="n">
        <v>0</v>
      </c>
      <c r="T302" s="8" t="n">
        <v>0</v>
      </c>
      <c r="U302" s="8" t="n">
        <v>0</v>
      </c>
      <c r="V302" s="8" t="n">
        <v>0</v>
      </c>
      <c r="W302" s="8" t="n">
        <v>1</v>
      </c>
      <c r="X302" s="8" t="n">
        <v>1</v>
      </c>
      <c r="Y302" s="8" t="n">
        <v>0</v>
      </c>
      <c r="Z302" s="8" t="n">
        <v>0</v>
      </c>
      <c r="AA302" s="8" t="n">
        <v>0</v>
      </c>
      <c r="AB302" s="8" t="n">
        <v>0</v>
      </c>
      <c r="AC302" s="8" t="n">
        <v>0</v>
      </c>
      <c r="AD302" s="8" t="n">
        <v>0</v>
      </c>
    </row>
    <row r="303" customFormat="false" ht="15" hidden="false" customHeight="false" outlineLevel="0" collapsed="false">
      <c r="A303" s="38" t="s">
        <v>2013</v>
      </c>
      <c r="B303" s="8" t="s">
        <v>2014</v>
      </c>
      <c r="C303" s="39" t="n">
        <v>1228</v>
      </c>
      <c r="D303" s="40" t="n">
        <v>45958</v>
      </c>
      <c r="E303" s="8" t="n">
        <v>21</v>
      </c>
      <c r="F303" s="39" t="n">
        <v>2842</v>
      </c>
      <c r="G303" s="39" t="n">
        <v>42</v>
      </c>
      <c r="H303" s="39" t="n">
        <v>7</v>
      </c>
      <c r="I303" s="39" t="n">
        <v>7</v>
      </c>
      <c r="J303" s="39" t="n">
        <v>16</v>
      </c>
      <c r="K303" s="8" t="s">
        <v>1240</v>
      </c>
      <c r="L303" s="41" t="s">
        <v>2015</v>
      </c>
      <c r="M303" s="42" t="n">
        <f aca="false">IFERROR(I303/F303,0)</f>
        <v>0.00246305418719212</v>
      </c>
      <c r="N303" s="42" t="n">
        <f aca="false">IFERROR(J303/F303,0)</f>
        <v>0.00562983814215341</v>
      </c>
      <c r="O303" s="8" t="n">
        <v>0</v>
      </c>
      <c r="P303" s="8" t="n">
        <v>0</v>
      </c>
      <c r="Q303" s="8" t="n">
        <v>0</v>
      </c>
      <c r="R303" s="8" t="n">
        <v>0</v>
      </c>
      <c r="S303" s="8" t="n">
        <v>0</v>
      </c>
      <c r="T303" s="8" t="n">
        <v>1</v>
      </c>
      <c r="U303" s="8" t="n">
        <v>0</v>
      </c>
      <c r="V303" s="8" t="n">
        <v>0</v>
      </c>
      <c r="W303" s="8" t="n">
        <v>0</v>
      </c>
      <c r="X303" s="8" t="n">
        <v>0</v>
      </c>
      <c r="Y303" s="8" t="n">
        <v>0</v>
      </c>
      <c r="Z303" s="8" t="n">
        <v>0</v>
      </c>
      <c r="AA303" s="8" t="n">
        <v>0</v>
      </c>
      <c r="AB303" s="8" t="n">
        <v>0</v>
      </c>
      <c r="AC303" s="8" t="n">
        <v>0</v>
      </c>
      <c r="AD303" s="8" t="n">
        <v>0</v>
      </c>
    </row>
    <row r="304" customFormat="false" ht="15" hidden="false" customHeight="false" outlineLevel="0" collapsed="false">
      <c r="A304" s="38" t="s">
        <v>2016</v>
      </c>
      <c r="B304" s="8" t="s">
        <v>1713</v>
      </c>
      <c r="C304" s="39" t="n">
        <v>200500</v>
      </c>
      <c r="D304" s="40" t="n">
        <v>46313</v>
      </c>
      <c r="E304" s="8" t="n">
        <v>168</v>
      </c>
      <c r="F304" s="39" t="n">
        <v>2833</v>
      </c>
      <c r="G304" s="39" t="n">
        <v>127</v>
      </c>
      <c r="H304" s="39" t="n">
        <v>2</v>
      </c>
      <c r="I304" s="39" t="n">
        <v>0</v>
      </c>
      <c r="J304" s="39" t="n">
        <v>2</v>
      </c>
      <c r="K304" s="8" t="s">
        <v>1243</v>
      </c>
      <c r="L304" s="41" t="s">
        <v>2017</v>
      </c>
      <c r="M304" s="42" t="n">
        <f aca="false">IFERROR(I304/F304,0)</f>
        <v>0</v>
      </c>
      <c r="N304" s="42" t="n">
        <f aca="false">IFERROR(J304/F304,0)</f>
        <v>0.000705965407695023</v>
      </c>
      <c r="O304" s="8" t="n">
        <v>1</v>
      </c>
      <c r="P304" s="8" t="n">
        <v>0</v>
      </c>
      <c r="Q304" s="8" t="n">
        <v>0</v>
      </c>
      <c r="R304" s="8" t="n">
        <v>0</v>
      </c>
      <c r="S304" s="8" t="n">
        <v>0</v>
      </c>
      <c r="T304" s="8" t="n">
        <v>0</v>
      </c>
      <c r="U304" s="8" t="n">
        <v>0</v>
      </c>
      <c r="V304" s="8" t="n">
        <v>0</v>
      </c>
      <c r="W304" s="8" t="n">
        <v>0</v>
      </c>
      <c r="X304" s="8" t="n">
        <v>0</v>
      </c>
      <c r="Y304" s="8" t="n">
        <v>0</v>
      </c>
      <c r="Z304" s="8" t="n">
        <v>0</v>
      </c>
      <c r="AA304" s="8" t="n">
        <v>0</v>
      </c>
      <c r="AB304" s="8" t="n">
        <v>0</v>
      </c>
      <c r="AC304" s="8" t="n">
        <v>0</v>
      </c>
      <c r="AD304" s="8" t="n">
        <v>0</v>
      </c>
    </row>
    <row r="305" customFormat="false" ht="15" hidden="false" customHeight="false" outlineLevel="0" collapsed="false">
      <c r="A305" s="38" t="s">
        <v>2018</v>
      </c>
      <c r="B305" s="8" t="s">
        <v>1732</v>
      </c>
      <c r="C305" s="39" t="n">
        <v>5165</v>
      </c>
      <c r="D305" s="40" t="n">
        <v>44966</v>
      </c>
      <c r="E305" s="8" t="n">
        <v>57</v>
      </c>
      <c r="F305" s="39" t="n">
        <v>2831</v>
      </c>
      <c r="G305" s="39" t="n">
        <v>26</v>
      </c>
      <c r="H305" s="39" t="n">
        <v>0</v>
      </c>
      <c r="I305" s="39" t="n">
        <v>3</v>
      </c>
      <c r="J305" s="39" t="n">
        <v>3</v>
      </c>
      <c r="K305" s="8" t="s">
        <v>1243</v>
      </c>
      <c r="L305" s="41" t="s">
        <v>2019</v>
      </c>
      <c r="M305" s="42" t="n">
        <f aca="false">IFERROR(I305/F305,0)</f>
        <v>0.00105969622041681</v>
      </c>
      <c r="N305" s="42" t="n">
        <f aca="false">IFERROR(J305/F305,0)</f>
        <v>0.00105969622041681</v>
      </c>
      <c r="O305" s="8" t="n">
        <v>0</v>
      </c>
      <c r="P305" s="8" t="n">
        <v>0</v>
      </c>
      <c r="Q305" s="8" t="n">
        <v>0</v>
      </c>
      <c r="R305" s="8" t="n">
        <v>0</v>
      </c>
      <c r="S305" s="8" t="n">
        <v>0</v>
      </c>
      <c r="T305" s="8" t="n">
        <v>0</v>
      </c>
      <c r="U305" s="8" t="n">
        <v>0</v>
      </c>
      <c r="V305" s="8" t="n">
        <v>0</v>
      </c>
      <c r="W305" s="8" t="n">
        <v>1</v>
      </c>
      <c r="X305" s="8" t="n">
        <v>1</v>
      </c>
      <c r="Y305" s="8" t="n">
        <v>0</v>
      </c>
      <c r="Z305" s="8" t="n">
        <v>0</v>
      </c>
      <c r="AA305" s="8" t="n">
        <v>0</v>
      </c>
      <c r="AB305" s="8" t="n">
        <v>1</v>
      </c>
      <c r="AC305" s="8" t="n">
        <v>0</v>
      </c>
      <c r="AD305" s="8" t="n">
        <v>0</v>
      </c>
    </row>
    <row r="306" customFormat="false" ht="15" hidden="false" customHeight="false" outlineLevel="0" collapsed="false">
      <c r="A306" s="38" t="s">
        <v>2020</v>
      </c>
      <c r="B306" s="8" t="s">
        <v>1353</v>
      </c>
      <c r="C306" s="39" t="n">
        <v>12900</v>
      </c>
      <c r="D306" s="40" t="n">
        <v>45762</v>
      </c>
      <c r="E306" s="8" t="n">
        <v>31</v>
      </c>
      <c r="F306" s="39" t="n">
        <v>2794</v>
      </c>
      <c r="G306" s="39" t="n">
        <v>107</v>
      </c>
      <c r="H306" s="39" t="n">
        <v>8</v>
      </c>
      <c r="I306" s="39" t="n">
        <v>1</v>
      </c>
      <c r="J306" s="39" t="n">
        <v>8</v>
      </c>
      <c r="K306" s="8" t="s">
        <v>1243</v>
      </c>
      <c r="L306" s="41" t="s">
        <v>2002</v>
      </c>
      <c r="M306" s="42" t="n">
        <f aca="false">IFERROR(I306/F306,0)</f>
        <v>0.000357909806728704</v>
      </c>
      <c r="N306" s="42" t="n">
        <f aca="false">IFERROR(J306/F306,0)</f>
        <v>0.00286327845382964</v>
      </c>
      <c r="O306" s="8" t="n">
        <v>0</v>
      </c>
      <c r="P306" s="8" t="n">
        <v>1</v>
      </c>
      <c r="Q306" s="8" t="n">
        <v>0</v>
      </c>
      <c r="R306" s="8" t="n">
        <v>0</v>
      </c>
      <c r="S306" s="8" t="n">
        <v>0</v>
      </c>
      <c r="T306" s="8" t="n">
        <v>0</v>
      </c>
      <c r="U306" s="8" t="n">
        <v>0</v>
      </c>
      <c r="V306" s="8" t="n">
        <v>0</v>
      </c>
      <c r="W306" s="8" t="n">
        <v>0</v>
      </c>
      <c r="X306" s="8" t="n">
        <v>0</v>
      </c>
      <c r="Y306" s="8" t="n">
        <v>1</v>
      </c>
      <c r="Z306" s="8" t="n">
        <v>0</v>
      </c>
      <c r="AA306" s="8" t="n">
        <v>0</v>
      </c>
      <c r="AB306" s="8" t="n">
        <v>0</v>
      </c>
      <c r="AC306" s="8" t="n">
        <v>0</v>
      </c>
      <c r="AD306" s="8" t="n">
        <v>0</v>
      </c>
    </row>
    <row r="307" customFormat="false" ht="15" hidden="false" customHeight="false" outlineLevel="0" collapsed="false">
      <c r="A307" s="38" t="s">
        <v>2021</v>
      </c>
      <c r="B307" s="8" t="s">
        <v>1912</v>
      </c>
      <c r="C307" s="39" t="n">
        <v>2768</v>
      </c>
      <c r="D307" s="40" t="n">
        <v>45734</v>
      </c>
      <c r="E307" s="8" t="n">
        <v>20</v>
      </c>
      <c r="F307" s="39" t="n">
        <v>2732</v>
      </c>
      <c r="G307" s="39" t="n">
        <v>77</v>
      </c>
      <c r="H307" s="39" t="n">
        <v>10</v>
      </c>
      <c r="I307" s="39" t="n">
        <v>1</v>
      </c>
      <c r="J307" s="39" t="n">
        <v>2</v>
      </c>
      <c r="K307" s="8" t="s">
        <v>1243</v>
      </c>
      <c r="L307" s="41" t="s">
        <v>2022</v>
      </c>
      <c r="M307" s="42" t="n">
        <f aca="false">IFERROR(I307/F307,0)</f>
        <v>0.000366032210834553</v>
      </c>
      <c r="N307" s="42" t="n">
        <f aca="false">IFERROR(J307/F307,0)</f>
        <v>0.000732064421669107</v>
      </c>
      <c r="O307" s="8" t="n">
        <v>1</v>
      </c>
      <c r="P307" s="8" t="n">
        <v>0</v>
      </c>
      <c r="Q307" s="8" t="n">
        <v>0</v>
      </c>
      <c r="R307" s="8" t="n">
        <v>0</v>
      </c>
      <c r="S307" s="8" t="n">
        <v>0</v>
      </c>
      <c r="T307" s="8" t="n">
        <v>1</v>
      </c>
      <c r="U307" s="8" t="n">
        <v>0</v>
      </c>
      <c r="V307" s="8" t="n">
        <v>0</v>
      </c>
      <c r="W307" s="8" t="n">
        <v>1</v>
      </c>
      <c r="X307" s="8" t="n">
        <v>1</v>
      </c>
      <c r="Y307" s="8" t="n">
        <v>0</v>
      </c>
      <c r="Z307" s="8" t="n">
        <v>0</v>
      </c>
      <c r="AA307" s="8" t="n">
        <v>0</v>
      </c>
      <c r="AB307" s="8" t="n">
        <v>0</v>
      </c>
      <c r="AC307" s="8" t="n">
        <v>0</v>
      </c>
      <c r="AD307" s="8" t="n">
        <v>0</v>
      </c>
    </row>
    <row r="308" customFormat="false" ht="15" hidden="false" customHeight="false" outlineLevel="0" collapsed="false">
      <c r="A308" s="38" t="s">
        <v>2023</v>
      </c>
      <c r="B308" s="8" t="s">
        <v>2024</v>
      </c>
      <c r="C308" s="39" t="n">
        <v>2020</v>
      </c>
      <c r="D308" s="40" t="n">
        <v>46130</v>
      </c>
      <c r="E308" s="8" t="n">
        <v>31</v>
      </c>
      <c r="F308" s="39" t="n">
        <v>2729</v>
      </c>
      <c r="G308" s="39" t="n">
        <v>411</v>
      </c>
      <c r="H308" s="39" t="n">
        <v>2</v>
      </c>
      <c r="I308" s="39" t="n">
        <v>2</v>
      </c>
      <c r="J308" s="39" t="n">
        <v>24</v>
      </c>
      <c r="K308" s="8" t="s">
        <v>1240</v>
      </c>
      <c r="L308" s="41" t="s">
        <v>2025</v>
      </c>
      <c r="M308" s="42" t="n">
        <f aca="false">IFERROR(I308/F308,0)</f>
        <v>0.000732869182850861</v>
      </c>
      <c r="N308" s="42" t="n">
        <f aca="false">IFERROR(J308/F308,0)</f>
        <v>0.00879443019421033</v>
      </c>
      <c r="O308" s="8" t="n">
        <v>0</v>
      </c>
      <c r="P308" s="8" t="n">
        <v>0</v>
      </c>
      <c r="Q308" s="8" t="n">
        <v>0</v>
      </c>
      <c r="R308" s="8" t="n">
        <v>0</v>
      </c>
      <c r="S308" s="8" t="n">
        <v>0</v>
      </c>
      <c r="T308" s="8" t="n">
        <v>0</v>
      </c>
      <c r="U308" s="8" t="n">
        <v>0</v>
      </c>
      <c r="V308" s="8" t="n">
        <v>0</v>
      </c>
      <c r="W308" s="8" t="n">
        <v>1</v>
      </c>
      <c r="X308" s="8" t="n">
        <v>1</v>
      </c>
      <c r="Y308" s="8" t="n">
        <v>0</v>
      </c>
      <c r="Z308" s="8" t="n">
        <v>0</v>
      </c>
      <c r="AA308" s="8" t="n">
        <v>0</v>
      </c>
      <c r="AB308" s="8" t="n">
        <v>0</v>
      </c>
      <c r="AC308" s="8" t="n">
        <v>0</v>
      </c>
      <c r="AD308" s="8" t="n">
        <v>0</v>
      </c>
    </row>
    <row r="309" customFormat="false" ht="15" hidden="false" customHeight="false" outlineLevel="0" collapsed="false">
      <c r="A309" s="38" t="s">
        <v>2026</v>
      </c>
      <c r="B309" s="8" t="s">
        <v>2027</v>
      </c>
      <c r="C309" s="39" t="n">
        <v>26100</v>
      </c>
      <c r="D309" s="40" t="n">
        <v>45872</v>
      </c>
      <c r="E309" s="8" t="n">
        <v>30</v>
      </c>
      <c r="F309" s="39" t="n">
        <v>2682</v>
      </c>
      <c r="G309" s="39" t="n">
        <v>59</v>
      </c>
      <c r="H309" s="39" t="n">
        <v>8</v>
      </c>
      <c r="I309" s="39" t="n">
        <v>12</v>
      </c>
      <c r="J309" s="39" t="n">
        <v>15</v>
      </c>
      <c r="K309" s="8" t="s">
        <v>1240</v>
      </c>
      <c r="L309" s="41" t="s">
        <v>2028</v>
      </c>
      <c r="M309" s="42" t="n">
        <f aca="false">IFERROR(I309/F309,0)</f>
        <v>0.00447427293064877</v>
      </c>
      <c r="N309" s="42" t="n">
        <f aca="false">IFERROR(J309/F309,0)</f>
        <v>0.00559284116331096</v>
      </c>
      <c r="O309" s="8" t="n">
        <v>0</v>
      </c>
      <c r="P309" s="8" t="n">
        <v>0</v>
      </c>
      <c r="Q309" s="8" t="n">
        <v>0</v>
      </c>
      <c r="R309" s="8" t="n">
        <v>0</v>
      </c>
      <c r="S309" s="8" t="n">
        <v>0</v>
      </c>
      <c r="T309" s="8" t="n">
        <v>1</v>
      </c>
      <c r="U309" s="8" t="n">
        <v>0</v>
      </c>
      <c r="V309" s="8" t="n">
        <v>0</v>
      </c>
      <c r="W309" s="8" t="n">
        <v>0</v>
      </c>
      <c r="X309" s="8" t="n">
        <v>0</v>
      </c>
      <c r="Y309" s="8" t="n">
        <v>0</v>
      </c>
      <c r="Z309" s="8" t="n">
        <v>0</v>
      </c>
      <c r="AA309" s="8" t="n">
        <v>0</v>
      </c>
      <c r="AB309" s="8" t="n">
        <v>0</v>
      </c>
      <c r="AC309" s="8" t="n">
        <v>0</v>
      </c>
      <c r="AD309" s="8" t="n">
        <v>0</v>
      </c>
    </row>
    <row r="310" customFormat="false" ht="15" hidden="false" customHeight="false" outlineLevel="0" collapsed="false">
      <c r="A310" s="38" t="s">
        <v>2029</v>
      </c>
      <c r="B310" s="8" t="s">
        <v>2030</v>
      </c>
      <c r="C310" s="39" t="n">
        <v>2655</v>
      </c>
      <c r="D310" s="40" t="n">
        <v>46313</v>
      </c>
      <c r="E310" s="8" t="n">
        <v>30</v>
      </c>
      <c r="F310" s="39" t="n">
        <v>2666</v>
      </c>
      <c r="G310" s="39" t="n">
        <v>91</v>
      </c>
      <c r="H310" s="39" t="n">
        <v>5</v>
      </c>
      <c r="I310" s="39" t="n">
        <v>0</v>
      </c>
      <c r="J310" s="39" t="n">
        <v>8</v>
      </c>
      <c r="K310" s="8" t="s">
        <v>1243</v>
      </c>
      <c r="L310" s="41" t="s">
        <v>2031</v>
      </c>
      <c r="M310" s="42" t="n">
        <f aca="false">IFERROR(I310/F310,0)</f>
        <v>0</v>
      </c>
      <c r="N310" s="42" t="n">
        <f aca="false">IFERROR(J310/F310,0)</f>
        <v>0.00300075018754689</v>
      </c>
      <c r="O310" s="8" t="n">
        <v>0</v>
      </c>
      <c r="P310" s="8" t="n">
        <v>1</v>
      </c>
      <c r="Q310" s="8" t="n">
        <v>0</v>
      </c>
      <c r="R310" s="8" t="n">
        <v>1</v>
      </c>
      <c r="S310" s="8" t="n">
        <v>0</v>
      </c>
      <c r="T310" s="8" t="n">
        <v>0</v>
      </c>
      <c r="U310" s="8" t="n">
        <v>0</v>
      </c>
      <c r="V310" s="8" t="n">
        <v>0</v>
      </c>
      <c r="W310" s="8" t="n">
        <v>0</v>
      </c>
      <c r="X310" s="8" t="n">
        <v>0</v>
      </c>
      <c r="Y310" s="8" t="n">
        <v>0</v>
      </c>
      <c r="Z310" s="8" t="n">
        <v>0</v>
      </c>
      <c r="AA310" s="8" t="n">
        <v>0</v>
      </c>
      <c r="AB310" s="8" t="n">
        <v>0</v>
      </c>
      <c r="AC310" s="8" t="n">
        <v>0</v>
      </c>
      <c r="AD310" s="8" t="n">
        <v>0</v>
      </c>
    </row>
    <row r="311" customFormat="false" ht="15" hidden="false" customHeight="false" outlineLevel="0" collapsed="false">
      <c r="A311" s="38" t="s">
        <v>2032</v>
      </c>
      <c r="B311" s="8" t="s">
        <v>2033</v>
      </c>
      <c r="C311" s="39" t="n">
        <v>682</v>
      </c>
      <c r="D311" s="40" t="n">
        <v>46144</v>
      </c>
      <c r="E311" s="8" t="n">
        <v>71</v>
      </c>
      <c r="F311" s="39" t="n">
        <v>2621</v>
      </c>
      <c r="G311" s="39" t="n">
        <v>23</v>
      </c>
      <c r="H311" s="39" t="n">
        <v>4</v>
      </c>
      <c r="I311" s="39" t="n">
        <v>7</v>
      </c>
      <c r="J311" s="39" t="n">
        <v>10</v>
      </c>
      <c r="K311" s="8" t="s">
        <v>1240</v>
      </c>
      <c r="L311" s="41" t="s">
        <v>2034</v>
      </c>
      <c r="M311" s="42" t="n">
        <f aca="false">IFERROR(I311/F311,0)</f>
        <v>0.00267073636016788</v>
      </c>
      <c r="N311" s="42" t="n">
        <f aca="false">IFERROR(J311/F311,0)</f>
        <v>0.00381533765738268</v>
      </c>
      <c r="O311" s="8" t="n">
        <v>0</v>
      </c>
      <c r="P311" s="8" t="n">
        <v>0</v>
      </c>
      <c r="Q311" s="8" t="n">
        <v>0</v>
      </c>
      <c r="R311" s="8" t="n">
        <v>0</v>
      </c>
      <c r="S311" s="8" t="n">
        <v>0</v>
      </c>
      <c r="T311" s="8" t="n">
        <v>1</v>
      </c>
      <c r="U311" s="8" t="n">
        <v>0</v>
      </c>
      <c r="V311" s="8" t="n">
        <v>0</v>
      </c>
      <c r="W311" s="8" t="n">
        <v>0</v>
      </c>
      <c r="X311" s="8" t="n">
        <v>0</v>
      </c>
      <c r="Y311" s="8" t="n">
        <v>0</v>
      </c>
      <c r="Z311" s="8" t="n">
        <v>0</v>
      </c>
      <c r="AA311" s="8" t="n">
        <v>0</v>
      </c>
      <c r="AB311" s="8" t="n">
        <v>0</v>
      </c>
      <c r="AC311" s="8" t="n">
        <v>0</v>
      </c>
      <c r="AD311" s="8" t="n">
        <v>0</v>
      </c>
    </row>
    <row r="312" customFormat="false" ht="15" hidden="false" customHeight="false" outlineLevel="0" collapsed="false">
      <c r="A312" s="38" t="s">
        <v>2035</v>
      </c>
      <c r="B312" s="8" t="s">
        <v>2036</v>
      </c>
      <c r="C312" s="39" t="n">
        <v>453</v>
      </c>
      <c r="D312" s="40" t="n">
        <v>46001</v>
      </c>
      <c r="E312" s="8" t="n">
        <v>18</v>
      </c>
      <c r="F312" s="39" t="n">
        <v>2524</v>
      </c>
      <c r="G312" s="39" t="n">
        <v>85</v>
      </c>
      <c r="H312" s="39" t="n">
        <v>2</v>
      </c>
      <c r="I312" s="39" t="n">
        <v>0</v>
      </c>
      <c r="J312" s="39" t="n">
        <v>4</v>
      </c>
      <c r="K312" s="8" t="s">
        <v>1240</v>
      </c>
      <c r="L312" s="41" t="s">
        <v>2037</v>
      </c>
      <c r="M312" s="42" t="n">
        <f aca="false">IFERROR(I312/F312,0)</f>
        <v>0</v>
      </c>
      <c r="N312" s="42" t="n">
        <f aca="false">IFERROR(J312/F312,0)</f>
        <v>0.00158478605388273</v>
      </c>
      <c r="O312" s="8" t="n">
        <v>0</v>
      </c>
      <c r="P312" s="8" t="n">
        <v>1</v>
      </c>
      <c r="Q312" s="8" t="n">
        <v>0</v>
      </c>
      <c r="R312" s="8" t="n">
        <v>0</v>
      </c>
      <c r="S312" s="8" t="n">
        <v>0</v>
      </c>
      <c r="T312" s="8" t="n">
        <v>1</v>
      </c>
      <c r="U312" s="8" t="n">
        <v>0</v>
      </c>
      <c r="V312" s="8" t="n">
        <v>0</v>
      </c>
      <c r="W312" s="8" t="n">
        <v>0</v>
      </c>
      <c r="X312" s="8" t="n">
        <v>0</v>
      </c>
      <c r="Y312" s="8" t="n">
        <v>0</v>
      </c>
      <c r="Z312" s="8" t="n">
        <v>0</v>
      </c>
      <c r="AA312" s="8" t="n">
        <v>0</v>
      </c>
      <c r="AB312" s="8" t="n">
        <v>0</v>
      </c>
      <c r="AC312" s="8" t="n">
        <v>0</v>
      </c>
      <c r="AD312" s="8" t="n">
        <v>0</v>
      </c>
    </row>
    <row r="313" customFormat="false" ht="15" hidden="false" customHeight="false" outlineLevel="0" collapsed="false">
      <c r="A313" s="38" t="s">
        <v>2038</v>
      </c>
      <c r="B313" s="8" t="s">
        <v>2039</v>
      </c>
      <c r="C313" s="39" t="n">
        <v>16600</v>
      </c>
      <c r="D313" s="40" t="n">
        <v>46233</v>
      </c>
      <c r="E313" s="8" t="n">
        <v>16</v>
      </c>
      <c r="F313" s="39" t="n">
        <v>2499</v>
      </c>
      <c r="G313" s="39" t="n">
        <v>29</v>
      </c>
      <c r="H313" s="39" t="n">
        <v>1</v>
      </c>
      <c r="I313" s="39" t="n">
        <v>3</v>
      </c>
      <c r="J313" s="39" t="n">
        <v>8</v>
      </c>
      <c r="K313" s="8" t="s">
        <v>1243</v>
      </c>
      <c r="L313" s="41" t="s">
        <v>2040</v>
      </c>
      <c r="M313" s="42" t="n">
        <f aca="false">IFERROR(I313/F313,0)</f>
        <v>0.00120048019207683</v>
      </c>
      <c r="N313" s="42" t="n">
        <f aca="false">IFERROR(J313/F313,0)</f>
        <v>0.00320128051220488</v>
      </c>
      <c r="O313" s="8" t="n">
        <v>0</v>
      </c>
      <c r="P313" s="8" t="n">
        <v>0</v>
      </c>
      <c r="Q313" s="8" t="n">
        <v>1</v>
      </c>
      <c r="R313" s="8" t="n">
        <v>0</v>
      </c>
      <c r="S313" s="8" t="n">
        <v>0</v>
      </c>
      <c r="T313" s="8" t="n">
        <v>0</v>
      </c>
      <c r="U313" s="8" t="n">
        <v>1</v>
      </c>
      <c r="V313" s="8" t="n">
        <v>0</v>
      </c>
      <c r="W313" s="8" t="n">
        <v>0</v>
      </c>
      <c r="X313" s="8" t="n">
        <v>0</v>
      </c>
      <c r="Y313" s="8" t="n">
        <v>0</v>
      </c>
      <c r="Z313" s="8" t="n">
        <v>0</v>
      </c>
      <c r="AA313" s="8" t="n">
        <v>0</v>
      </c>
      <c r="AB313" s="8" t="n">
        <v>0</v>
      </c>
      <c r="AC313" s="8" t="n">
        <v>0</v>
      </c>
      <c r="AD313" s="8" t="n">
        <v>1</v>
      </c>
    </row>
    <row r="314" customFormat="false" ht="15" hidden="false" customHeight="false" outlineLevel="0" collapsed="false">
      <c r="A314" s="38" t="s">
        <v>2041</v>
      </c>
      <c r="B314" s="8" t="s">
        <v>1929</v>
      </c>
      <c r="C314" s="39" t="n">
        <v>996</v>
      </c>
      <c r="D314" s="40" t="n">
        <v>46308</v>
      </c>
      <c r="E314" s="8" t="n">
        <v>35</v>
      </c>
      <c r="F314" s="39" t="n">
        <v>2474</v>
      </c>
      <c r="G314" s="39" t="n">
        <v>226</v>
      </c>
      <c r="H314" s="39" t="n">
        <v>5</v>
      </c>
      <c r="I314" s="39" t="n">
        <v>5</v>
      </c>
      <c r="J314" s="39" t="n">
        <v>17</v>
      </c>
      <c r="K314" s="8" t="s">
        <v>1240</v>
      </c>
      <c r="L314" s="41" t="s">
        <v>2042</v>
      </c>
      <c r="M314" s="42" t="n">
        <f aca="false">IFERROR(I314/F314,0)</f>
        <v>0.00202101859337106</v>
      </c>
      <c r="N314" s="42" t="n">
        <f aca="false">IFERROR(J314/F314,0)</f>
        <v>0.0068714632174616</v>
      </c>
      <c r="O314" s="8" t="n">
        <v>0</v>
      </c>
      <c r="P314" s="8" t="n">
        <v>1</v>
      </c>
      <c r="Q314" s="8" t="n">
        <v>0</v>
      </c>
      <c r="R314" s="8" t="n">
        <v>1</v>
      </c>
      <c r="S314" s="8" t="n">
        <v>0</v>
      </c>
      <c r="T314" s="8" t="n">
        <v>0</v>
      </c>
      <c r="U314" s="8" t="n">
        <v>0</v>
      </c>
      <c r="V314" s="8" t="n">
        <v>0</v>
      </c>
      <c r="W314" s="8" t="n">
        <v>0</v>
      </c>
      <c r="X314" s="8" t="n">
        <v>0</v>
      </c>
      <c r="Y314" s="8" t="n">
        <v>0</v>
      </c>
      <c r="Z314" s="8" t="n">
        <v>0</v>
      </c>
      <c r="AA314" s="8" t="n">
        <v>0</v>
      </c>
      <c r="AB314" s="8" t="n">
        <v>0</v>
      </c>
      <c r="AC314" s="8" t="n">
        <v>0</v>
      </c>
      <c r="AD314" s="8" t="n">
        <v>0</v>
      </c>
    </row>
    <row r="315" customFormat="false" ht="15" hidden="false" customHeight="false" outlineLevel="0" collapsed="false">
      <c r="A315" s="38" t="s">
        <v>2043</v>
      </c>
      <c r="B315" s="8" t="s">
        <v>1496</v>
      </c>
      <c r="C315" s="39" t="n">
        <v>12800</v>
      </c>
      <c r="D315" s="40" t="n">
        <v>46310</v>
      </c>
      <c r="E315" s="8" t="n">
        <v>22</v>
      </c>
      <c r="F315" s="39" t="n">
        <v>2462</v>
      </c>
      <c r="G315" s="39" t="n">
        <v>30</v>
      </c>
      <c r="H315" s="39" t="n">
        <v>12</v>
      </c>
      <c r="I315" s="39" t="n">
        <v>10</v>
      </c>
      <c r="J315" s="39" t="n">
        <v>5</v>
      </c>
      <c r="K315" s="8" t="s">
        <v>1243</v>
      </c>
      <c r="L315" s="41" t="s">
        <v>1497</v>
      </c>
      <c r="M315" s="42" t="n">
        <f aca="false">IFERROR(I315/F315,0)</f>
        <v>0.00406173842404549</v>
      </c>
      <c r="N315" s="42" t="n">
        <f aca="false">IFERROR(J315/F315,0)</f>
        <v>0.00203086921202275</v>
      </c>
      <c r="O315" s="8" t="n">
        <v>0</v>
      </c>
      <c r="P315" s="8" t="n">
        <v>0</v>
      </c>
      <c r="Q315" s="8" t="n">
        <v>1</v>
      </c>
      <c r="R315" s="8" t="n">
        <v>0</v>
      </c>
      <c r="S315" s="8" t="n">
        <v>0</v>
      </c>
      <c r="T315" s="8" t="n">
        <v>0</v>
      </c>
      <c r="U315" s="8" t="n">
        <v>1</v>
      </c>
      <c r="V315" s="8" t="n">
        <v>1</v>
      </c>
      <c r="W315" s="8" t="n">
        <v>0</v>
      </c>
      <c r="X315" s="8" t="n">
        <v>0</v>
      </c>
      <c r="Y315" s="8" t="n">
        <v>0</v>
      </c>
      <c r="Z315" s="8" t="n">
        <v>0</v>
      </c>
      <c r="AA315" s="8" t="n">
        <v>0</v>
      </c>
      <c r="AB315" s="8" t="n">
        <v>0</v>
      </c>
      <c r="AC315" s="8" t="n">
        <v>0</v>
      </c>
      <c r="AD315" s="8" t="n">
        <v>0</v>
      </c>
    </row>
    <row r="316" customFormat="false" ht="15" hidden="false" customHeight="false" outlineLevel="0" collapsed="false">
      <c r="A316" s="38" t="s">
        <v>2044</v>
      </c>
      <c r="B316" s="8" t="s">
        <v>2045</v>
      </c>
      <c r="C316" s="39" t="n">
        <v>7</v>
      </c>
      <c r="D316" s="40" t="n">
        <v>46310</v>
      </c>
      <c r="E316" s="8" t="n">
        <v>29</v>
      </c>
      <c r="F316" s="39" t="n">
        <v>2421</v>
      </c>
      <c r="G316" s="39" t="n">
        <v>43</v>
      </c>
      <c r="H316" s="39" t="n">
        <v>1</v>
      </c>
      <c r="I316" s="39" t="n">
        <v>1</v>
      </c>
      <c r="J316" s="39" t="n">
        <v>3</v>
      </c>
      <c r="K316" s="8" t="s">
        <v>1243</v>
      </c>
      <c r="L316" s="41" t="s">
        <v>2046</v>
      </c>
      <c r="M316" s="42" t="n">
        <f aca="false">IFERROR(I316/F316,0)</f>
        <v>0.000413052457662123</v>
      </c>
      <c r="N316" s="42" t="n">
        <f aca="false">IFERROR(J316/F316,0)</f>
        <v>0.00123915737298637</v>
      </c>
      <c r="O316" s="8" t="n">
        <v>0</v>
      </c>
      <c r="P316" s="8" t="n">
        <v>0</v>
      </c>
      <c r="Q316" s="8" t="n">
        <v>0</v>
      </c>
      <c r="R316" s="8" t="n">
        <v>0</v>
      </c>
      <c r="S316" s="8" t="n">
        <v>0</v>
      </c>
      <c r="T316" s="8" t="n">
        <v>0</v>
      </c>
      <c r="U316" s="8" t="n">
        <v>1</v>
      </c>
      <c r="V316" s="8" t="n">
        <v>0</v>
      </c>
      <c r="W316" s="8" t="n">
        <v>0</v>
      </c>
      <c r="X316" s="8" t="n">
        <v>0</v>
      </c>
      <c r="Y316" s="8" t="n">
        <v>0</v>
      </c>
      <c r="Z316" s="8" t="n">
        <v>0</v>
      </c>
      <c r="AA316" s="8" t="n">
        <v>0</v>
      </c>
      <c r="AB316" s="8" t="n">
        <v>0</v>
      </c>
      <c r="AC316" s="8" t="n">
        <v>0</v>
      </c>
      <c r="AD316" s="8" t="n">
        <v>0</v>
      </c>
    </row>
    <row r="317" customFormat="false" ht="15" hidden="false" customHeight="false" outlineLevel="0" collapsed="false">
      <c r="A317" s="38" t="s">
        <v>2047</v>
      </c>
      <c r="B317" s="8" t="s">
        <v>2048</v>
      </c>
      <c r="C317" s="39" t="n">
        <v>2077</v>
      </c>
      <c r="D317" s="40" t="n">
        <v>45960</v>
      </c>
      <c r="E317" s="8" t="n">
        <v>20</v>
      </c>
      <c r="F317" s="39" t="n">
        <v>2313</v>
      </c>
      <c r="G317" s="39" t="n">
        <v>66</v>
      </c>
      <c r="H317" s="39" t="n">
        <v>2</v>
      </c>
      <c r="I317" s="39" t="n">
        <v>0</v>
      </c>
      <c r="J317" s="39" t="n">
        <v>0</v>
      </c>
      <c r="K317" s="8" t="s">
        <v>1240</v>
      </c>
      <c r="L317" s="41" t="s">
        <v>2049</v>
      </c>
      <c r="M317" s="42" t="n">
        <f aca="false">IFERROR(I317/F317,0)</f>
        <v>0</v>
      </c>
      <c r="N317" s="42" t="n">
        <f aca="false">IFERROR(J317/F317,0)</f>
        <v>0</v>
      </c>
      <c r="O317" s="8" t="n">
        <v>0</v>
      </c>
      <c r="P317" s="8" t="n">
        <v>0</v>
      </c>
      <c r="Q317" s="8" t="n">
        <v>0</v>
      </c>
      <c r="R317" s="8" t="n">
        <v>0</v>
      </c>
      <c r="S317" s="8" t="n">
        <v>0</v>
      </c>
      <c r="T317" s="8" t="n">
        <v>1</v>
      </c>
      <c r="U317" s="8" t="n">
        <v>0</v>
      </c>
      <c r="V317" s="8" t="n">
        <v>0</v>
      </c>
      <c r="W317" s="8" t="n">
        <v>0</v>
      </c>
      <c r="X317" s="8" t="n">
        <v>0</v>
      </c>
      <c r="Y317" s="8" t="n">
        <v>0</v>
      </c>
      <c r="Z317" s="8" t="n">
        <v>0</v>
      </c>
      <c r="AA317" s="8" t="n">
        <v>0</v>
      </c>
      <c r="AB317" s="8" t="n">
        <v>0</v>
      </c>
      <c r="AC317" s="8" t="n">
        <v>0</v>
      </c>
      <c r="AD317" s="8" t="n">
        <v>0</v>
      </c>
    </row>
    <row r="318" customFormat="false" ht="15" hidden="false" customHeight="false" outlineLevel="0" collapsed="false">
      <c r="A318" s="38" t="s">
        <v>2050</v>
      </c>
      <c r="B318" s="8" t="s">
        <v>1271</v>
      </c>
      <c r="C318" s="39" t="n">
        <v>74500</v>
      </c>
      <c r="D318" s="40" t="n">
        <v>46126</v>
      </c>
      <c r="E318" s="8" t="n">
        <v>19</v>
      </c>
      <c r="F318" s="39" t="n">
        <v>2281</v>
      </c>
      <c r="G318" s="39" t="n">
        <v>34</v>
      </c>
      <c r="H318" s="39" t="n">
        <v>1</v>
      </c>
      <c r="I318" s="39" t="n">
        <v>0</v>
      </c>
      <c r="J318" s="39" t="n">
        <v>2</v>
      </c>
      <c r="K318" s="8" t="s">
        <v>1243</v>
      </c>
      <c r="L318" s="41" t="s">
        <v>2051</v>
      </c>
      <c r="M318" s="42" t="n">
        <f aca="false">IFERROR(I318/F318,0)</f>
        <v>0</v>
      </c>
      <c r="N318" s="42" t="n">
        <f aca="false">IFERROR(J318/F318,0)</f>
        <v>0.000876808417360807</v>
      </c>
      <c r="O318" s="8" t="n">
        <v>0</v>
      </c>
      <c r="P318" s="8" t="n">
        <v>0</v>
      </c>
      <c r="Q318" s="8" t="n">
        <v>0</v>
      </c>
      <c r="R318" s="8" t="n">
        <v>0</v>
      </c>
      <c r="S318" s="8" t="n">
        <v>0</v>
      </c>
      <c r="T318" s="8" t="n">
        <v>0</v>
      </c>
      <c r="U318" s="8" t="n">
        <v>0</v>
      </c>
      <c r="V318" s="8" t="n">
        <v>0</v>
      </c>
      <c r="W318" s="8" t="n">
        <v>0</v>
      </c>
      <c r="X318" s="8" t="n">
        <v>0</v>
      </c>
      <c r="Y318" s="8" t="n">
        <v>0</v>
      </c>
      <c r="Z318" s="8" t="n">
        <v>1</v>
      </c>
      <c r="AA318" s="8" t="n">
        <v>0</v>
      </c>
      <c r="AB318" s="8" t="n">
        <v>0</v>
      </c>
      <c r="AC318" s="8" t="n">
        <v>0</v>
      </c>
      <c r="AD318" s="8" t="n">
        <v>0</v>
      </c>
    </row>
    <row r="319" customFormat="false" ht="15" hidden="false" customHeight="false" outlineLevel="0" collapsed="false">
      <c r="A319" s="38" t="s">
        <v>2052</v>
      </c>
      <c r="B319" s="8" t="s">
        <v>1330</v>
      </c>
      <c r="C319" s="39" t="n">
        <v>547900</v>
      </c>
      <c r="D319" s="40" t="n">
        <v>46316</v>
      </c>
      <c r="E319" s="8" t="n">
        <v>84</v>
      </c>
      <c r="F319" s="39" t="n">
        <v>2271</v>
      </c>
      <c r="G319" s="39" t="n">
        <v>102</v>
      </c>
      <c r="H319" s="39" t="n">
        <v>2</v>
      </c>
      <c r="I319" s="39" t="n">
        <v>0</v>
      </c>
      <c r="J319" s="39" t="n">
        <v>6</v>
      </c>
      <c r="K319" s="8" t="s">
        <v>1240</v>
      </c>
      <c r="L319" s="41" t="s">
        <v>1331</v>
      </c>
      <c r="M319" s="42" t="n">
        <f aca="false">IFERROR(I319/F319,0)</f>
        <v>0</v>
      </c>
      <c r="N319" s="42" t="n">
        <f aca="false">IFERROR(J319/F319,0)</f>
        <v>0.00264200792602378</v>
      </c>
      <c r="O319" s="8" t="n">
        <v>0</v>
      </c>
      <c r="P319" s="8" t="n">
        <v>0</v>
      </c>
      <c r="Q319" s="8" t="n">
        <v>0</v>
      </c>
      <c r="R319" s="8" t="n">
        <v>0</v>
      </c>
      <c r="S319" s="8" t="n">
        <v>0</v>
      </c>
      <c r="T319" s="8" t="n">
        <v>0</v>
      </c>
      <c r="U319" s="8" t="n">
        <v>0</v>
      </c>
      <c r="V319" s="8" t="n">
        <v>0</v>
      </c>
      <c r="W319" s="8" t="n">
        <v>0</v>
      </c>
      <c r="X319" s="8" t="n">
        <v>0</v>
      </c>
      <c r="Y319" s="8" t="n">
        <v>0</v>
      </c>
      <c r="Z319" s="8" t="n">
        <v>0</v>
      </c>
      <c r="AA319" s="8" t="n">
        <v>0</v>
      </c>
      <c r="AB319" s="8" t="n">
        <v>0</v>
      </c>
      <c r="AC319" s="8" t="n">
        <v>0</v>
      </c>
      <c r="AD319" s="8" t="n">
        <v>0</v>
      </c>
    </row>
    <row r="320" customFormat="false" ht="15" hidden="false" customHeight="false" outlineLevel="0" collapsed="false">
      <c r="A320" s="38" t="s">
        <v>2053</v>
      </c>
      <c r="B320" s="8" t="s">
        <v>2054</v>
      </c>
      <c r="C320" s="39" t="n">
        <v>1391</v>
      </c>
      <c r="D320" s="40" t="n">
        <v>46229</v>
      </c>
      <c r="E320" s="8" t="n">
        <v>25</v>
      </c>
      <c r="F320" s="39" t="n">
        <v>2255</v>
      </c>
      <c r="G320" s="39" t="n">
        <v>51</v>
      </c>
      <c r="H320" s="39" t="n">
        <v>7</v>
      </c>
      <c r="I320" s="39" t="n">
        <v>3</v>
      </c>
      <c r="J320" s="39" t="n">
        <v>2</v>
      </c>
      <c r="K320" s="8" t="s">
        <v>1240</v>
      </c>
      <c r="L320" s="41" t="s">
        <v>2055</v>
      </c>
      <c r="M320" s="42" t="n">
        <f aca="false">IFERROR(I320/F320,0)</f>
        <v>0.00133037694013304</v>
      </c>
      <c r="N320" s="42" t="n">
        <f aca="false">IFERROR(J320/F320,0)</f>
        <v>0.000886917960088692</v>
      </c>
      <c r="O320" s="8" t="n">
        <v>0</v>
      </c>
      <c r="P320" s="8" t="n">
        <v>0</v>
      </c>
      <c r="Q320" s="8" t="n">
        <v>0</v>
      </c>
      <c r="R320" s="8" t="n">
        <v>0</v>
      </c>
      <c r="S320" s="8" t="n">
        <v>0</v>
      </c>
      <c r="T320" s="8" t="n">
        <v>0</v>
      </c>
      <c r="U320" s="8" t="n">
        <v>0</v>
      </c>
      <c r="V320" s="8" t="n">
        <v>1</v>
      </c>
      <c r="W320" s="8" t="n">
        <v>0</v>
      </c>
      <c r="X320" s="8" t="n">
        <v>0</v>
      </c>
      <c r="Y320" s="8" t="n">
        <v>0</v>
      </c>
      <c r="Z320" s="8" t="n">
        <v>0</v>
      </c>
      <c r="AA320" s="8" t="n">
        <v>0</v>
      </c>
      <c r="AB320" s="8" t="n">
        <v>0</v>
      </c>
      <c r="AC320" s="8" t="n">
        <v>0</v>
      </c>
      <c r="AD320" s="8" t="n">
        <v>0</v>
      </c>
    </row>
    <row r="321" customFormat="false" ht="15" hidden="false" customHeight="false" outlineLevel="0" collapsed="false">
      <c r="A321" s="38" t="s">
        <v>2056</v>
      </c>
      <c r="B321" s="8" t="s">
        <v>2057</v>
      </c>
      <c r="C321" s="39" t="n">
        <v>20900</v>
      </c>
      <c r="D321" s="40" t="n">
        <v>45991</v>
      </c>
      <c r="E321" s="8" t="n">
        <v>106</v>
      </c>
      <c r="F321" s="39" t="n">
        <v>2252</v>
      </c>
      <c r="G321" s="39" t="n">
        <v>44</v>
      </c>
      <c r="H321" s="39" t="n">
        <v>11</v>
      </c>
      <c r="I321" s="39" t="n">
        <v>9</v>
      </c>
      <c r="J321" s="39" t="n">
        <v>6</v>
      </c>
      <c r="K321" s="8" t="s">
        <v>1243</v>
      </c>
      <c r="L321" s="41" t="s">
        <v>2058</v>
      </c>
      <c r="M321" s="42" t="n">
        <f aca="false">IFERROR(I321/F321,0)</f>
        <v>0.00399644760213144</v>
      </c>
      <c r="N321" s="42" t="n">
        <f aca="false">IFERROR(J321/F321,0)</f>
        <v>0.00266429840142096</v>
      </c>
      <c r="O321" s="8" t="n">
        <v>0</v>
      </c>
      <c r="P321" s="8" t="n">
        <v>0</v>
      </c>
      <c r="Q321" s="8" t="n">
        <v>0</v>
      </c>
      <c r="R321" s="8" t="n">
        <v>0</v>
      </c>
      <c r="S321" s="8" t="n">
        <v>0</v>
      </c>
      <c r="T321" s="8" t="n">
        <v>0</v>
      </c>
      <c r="U321" s="8" t="n">
        <v>0</v>
      </c>
      <c r="V321" s="8" t="n">
        <v>0</v>
      </c>
      <c r="W321" s="8" t="n">
        <v>0</v>
      </c>
      <c r="X321" s="8" t="n">
        <v>0</v>
      </c>
      <c r="Y321" s="8" t="n">
        <v>0</v>
      </c>
      <c r="Z321" s="8" t="n">
        <v>0</v>
      </c>
      <c r="AA321" s="8" t="n">
        <v>0</v>
      </c>
      <c r="AB321" s="8" t="n">
        <v>1</v>
      </c>
      <c r="AC321" s="8" t="n">
        <v>0</v>
      </c>
      <c r="AD321" s="8" t="n">
        <v>0</v>
      </c>
    </row>
    <row r="322" customFormat="false" ht="15" hidden="false" customHeight="false" outlineLevel="0" collapsed="false">
      <c r="A322" s="38" t="s">
        <v>2059</v>
      </c>
      <c r="B322" s="8" t="s">
        <v>2060</v>
      </c>
      <c r="C322" s="39" t="n">
        <v>4660</v>
      </c>
      <c r="D322" s="40" t="n">
        <v>46058</v>
      </c>
      <c r="E322" s="8" t="n">
        <v>52</v>
      </c>
      <c r="F322" s="39" t="n">
        <v>2237</v>
      </c>
      <c r="G322" s="39" t="n">
        <v>98</v>
      </c>
      <c r="H322" s="39" t="n">
        <v>15</v>
      </c>
      <c r="I322" s="39" t="n">
        <v>7</v>
      </c>
      <c r="J322" s="39" t="n">
        <v>9</v>
      </c>
      <c r="K322" s="8" t="s">
        <v>1243</v>
      </c>
      <c r="L322" s="41" t="s">
        <v>2061</v>
      </c>
      <c r="M322" s="42" t="n">
        <f aca="false">IFERROR(I322/F322,0)</f>
        <v>0.00312919088064372</v>
      </c>
      <c r="N322" s="42" t="n">
        <f aca="false">IFERROR(J322/F322,0)</f>
        <v>0.0040232454179705</v>
      </c>
      <c r="O322" s="8" t="n">
        <v>0</v>
      </c>
      <c r="P322" s="8" t="n">
        <v>0</v>
      </c>
      <c r="Q322" s="8" t="n">
        <v>0</v>
      </c>
      <c r="R322" s="8" t="n">
        <v>0</v>
      </c>
      <c r="S322" s="8" t="n">
        <v>0</v>
      </c>
      <c r="T322" s="8" t="n">
        <v>1</v>
      </c>
      <c r="U322" s="8" t="n">
        <v>0</v>
      </c>
      <c r="V322" s="8" t="n">
        <v>0</v>
      </c>
      <c r="W322" s="8" t="n">
        <v>0</v>
      </c>
      <c r="X322" s="8" t="n">
        <v>0</v>
      </c>
      <c r="Y322" s="8" t="n">
        <v>0</v>
      </c>
      <c r="Z322" s="8" t="n">
        <v>0</v>
      </c>
      <c r="AA322" s="8" t="n">
        <v>1</v>
      </c>
      <c r="AB322" s="8" t="n">
        <v>0</v>
      </c>
      <c r="AC322" s="8" t="n">
        <v>0</v>
      </c>
      <c r="AD322" s="8" t="n">
        <v>0</v>
      </c>
    </row>
    <row r="323" customFormat="false" ht="15" hidden="false" customHeight="false" outlineLevel="0" collapsed="false">
      <c r="A323" s="38" t="s">
        <v>2062</v>
      </c>
      <c r="B323" s="8" t="s">
        <v>1640</v>
      </c>
      <c r="C323" s="39" t="n">
        <v>3247</v>
      </c>
      <c r="D323" s="40" t="n">
        <v>45989</v>
      </c>
      <c r="E323" s="8" t="n">
        <v>15</v>
      </c>
      <c r="F323" s="39" t="n">
        <v>2199</v>
      </c>
      <c r="G323" s="39" t="n">
        <v>22</v>
      </c>
      <c r="H323" s="39" t="n">
        <v>2</v>
      </c>
      <c r="I323" s="39" t="n">
        <v>8</v>
      </c>
      <c r="J323" s="39" t="n">
        <v>6</v>
      </c>
      <c r="K323" s="8" t="s">
        <v>1243</v>
      </c>
      <c r="L323" s="41" t="s">
        <v>2063</v>
      </c>
      <c r="M323" s="42" t="n">
        <f aca="false">IFERROR(I323/F323,0)</f>
        <v>0.00363801728058208</v>
      </c>
      <c r="N323" s="42" t="n">
        <f aca="false">IFERROR(J323/F323,0)</f>
        <v>0.00272851296043656</v>
      </c>
      <c r="O323" s="8" t="n">
        <v>0</v>
      </c>
      <c r="P323" s="8" t="n">
        <v>0</v>
      </c>
      <c r="Q323" s="8" t="n">
        <v>0</v>
      </c>
      <c r="R323" s="8" t="n">
        <v>0</v>
      </c>
      <c r="S323" s="8" t="n">
        <v>0</v>
      </c>
      <c r="T323" s="8" t="n">
        <v>0</v>
      </c>
      <c r="U323" s="8" t="n">
        <v>0</v>
      </c>
      <c r="V323" s="8" t="n">
        <v>0</v>
      </c>
      <c r="W323" s="8" t="n">
        <v>0</v>
      </c>
      <c r="X323" s="8" t="n">
        <v>0</v>
      </c>
      <c r="Y323" s="8" t="n">
        <v>0</v>
      </c>
      <c r="Z323" s="8" t="n">
        <v>0</v>
      </c>
      <c r="AA323" s="8" t="n">
        <v>0</v>
      </c>
      <c r="AB323" s="8" t="n">
        <v>1</v>
      </c>
      <c r="AC323" s="8" t="n">
        <v>0</v>
      </c>
      <c r="AD323" s="8" t="n">
        <v>0</v>
      </c>
    </row>
    <row r="324" customFormat="false" ht="15" hidden="false" customHeight="false" outlineLevel="0" collapsed="false">
      <c r="A324" s="38" t="s">
        <v>2064</v>
      </c>
      <c r="B324" s="8" t="s">
        <v>1362</v>
      </c>
      <c r="C324" s="39" t="n">
        <v>436</v>
      </c>
      <c r="D324" s="40" t="n">
        <v>46315</v>
      </c>
      <c r="E324" s="8" t="n">
        <v>20</v>
      </c>
      <c r="F324" s="39" t="n">
        <v>2169</v>
      </c>
      <c r="G324" s="39" t="n">
        <v>77</v>
      </c>
      <c r="H324" s="39" t="n">
        <v>5</v>
      </c>
      <c r="I324" s="39" t="n">
        <v>4</v>
      </c>
      <c r="J324" s="39" t="n">
        <v>8</v>
      </c>
      <c r="K324" s="8" t="s">
        <v>1243</v>
      </c>
      <c r="L324" s="41" t="s">
        <v>2065</v>
      </c>
      <c r="M324" s="42" t="n">
        <f aca="false">IFERROR(I324/F324,0)</f>
        <v>0.00184416781927155</v>
      </c>
      <c r="N324" s="42" t="n">
        <f aca="false">IFERROR(J324/F324,0)</f>
        <v>0.00368833563854311</v>
      </c>
      <c r="O324" s="8" t="n">
        <v>0</v>
      </c>
      <c r="P324" s="8" t="n">
        <v>0</v>
      </c>
      <c r="Q324" s="8" t="n">
        <v>1</v>
      </c>
      <c r="R324" s="8" t="n">
        <v>1</v>
      </c>
      <c r="S324" s="8" t="n">
        <v>0</v>
      </c>
      <c r="T324" s="8" t="n">
        <v>0</v>
      </c>
      <c r="U324" s="8" t="n">
        <v>0</v>
      </c>
      <c r="V324" s="8" t="n">
        <v>0</v>
      </c>
      <c r="W324" s="8" t="n">
        <v>0</v>
      </c>
      <c r="X324" s="8" t="n">
        <v>0</v>
      </c>
      <c r="Y324" s="8" t="n">
        <v>0</v>
      </c>
      <c r="Z324" s="8" t="n">
        <v>0</v>
      </c>
      <c r="AA324" s="8" t="n">
        <v>0</v>
      </c>
      <c r="AB324" s="8" t="n">
        <v>0</v>
      </c>
      <c r="AC324" s="8" t="n">
        <v>0</v>
      </c>
      <c r="AD324" s="8" t="n">
        <v>0</v>
      </c>
    </row>
    <row r="325" customFormat="false" ht="15" hidden="false" customHeight="false" outlineLevel="0" collapsed="false">
      <c r="A325" s="38" t="s">
        <v>2066</v>
      </c>
      <c r="B325" s="8" t="s">
        <v>2067</v>
      </c>
      <c r="C325" s="39" t="n">
        <v>4026</v>
      </c>
      <c r="D325" s="40" t="n">
        <v>46293</v>
      </c>
      <c r="E325" s="8" t="n">
        <v>85</v>
      </c>
      <c r="F325" s="39" t="n">
        <v>2084</v>
      </c>
      <c r="G325" s="39" t="n">
        <v>72</v>
      </c>
      <c r="H325" s="39" t="n">
        <v>2</v>
      </c>
      <c r="I325" s="39" t="n">
        <v>12</v>
      </c>
      <c r="J325" s="39" t="n">
        <v>16</v>
      </c>
      <c r="K325" s="8" t="s">
        <v>1240</v>
      </c>
      <c r="L325" s="41" t="s">
        <v>2068</v>
      </c>
      <c r="M325" s="42" t="n">
        <f aca="false">IFERROR(I325/F325,0)</f>
        <v>0.00575815738963532</v>
      </c>
      <c r="N325" s="42" t="n">
        <f aca="false">IFERROR(J325/F325,0)</f>
        <v>0.00767754318618042</v>
      </c>
      <c r="O325" s="8" t="n">
        <v>0</v>
      </c>
      <c r="P325" s="8" t="n">
        <v>0</v>
      </c>
      <c r="Q325" s="8" t="n">
        <v>0</v>
      </c>
      <c r="R325" s="8" t="n">
        <v>0</v>
      </c>
      <c r="S325" s="8" t="n">
        <v>0</v>
      </c>
      <c r="T325" s="8" t="n">
        <v>1</v>
      </c>
      <c r="U325" s="8" t="n">
        <v>0</v>
      </c>
      <c r="V325" s="8" t="n">
        <v>0</v>
      </c>
      <c r="W325" s="8" t="n">
        <v>1</v>
      </c>
      <c r="X325" s="8" t="n">
        <v>1</v>
      </c>
      <c r="Y325" s="8" t="n">
        <v>0</v>
      </c>
      <c r="Z325" s="8" t="n">
        <v>0</v>
      </c>
      <c r="AA325" s="8" t="n">
        <v>0</v>
      </c>
      <c r="AB325" s="8" t="n">
        <v>0</v>
      </c>
      <c r="AC325" s="8" t="n">
        <v>0</v>
      </c>
      <c r="AD325" s="8" t="n">
        <v>0</v>
      </c>
    </row>
    <row r="326" customFormat="false" ht="15" hidden="false" customHeight="false" outlineLevel="0" collapsed="false">
      <c r="A326" s="38" t="s">
        <v>2069</v>
      </c>
      <c r="B326" s="8" t="s">
        <v>2070</v>
      </c>
      <c r="C326" s="39" t="n">
        <v>2279</v>
      </c>
      <c r="D326" s="40" t="n">
        <v>46081</v>
      </c>
      <c r="E326" s="8" t="n">
        <v>42</v>
      </c>
      <c r="F326" s="39" t="n">
        <v>2042</v>
      </c>
      <c r="G326" s="39" t="n">
        <v>27</v>
      </c>
      <c r="H326" s="39" t="n">
        <v>2</v>
      </c>
      <c r="I326" s="39" t="n">
        <v>3</v>
      </c>
      <c r="J326" s="39" t="n">
        <v>4</v>
      </c>
      <c r="K326" s="8" t="s">
        <v>1240</v>
      </c>
      <c r="L326" s="41" t="s">
        <v>2071</v>
      </c>
      <c r="M326" s="42" t="n">
        <f aca="false">IFERROR(I326/F326,0)</f>
        <v>0.00146914789422135</v>
      </c>
      <c r="N326" s="42" t="n">
        <f aca="false">IFERROR(J326/F326,0)</f>
        <v>0.0019588638589618</v>
      </c>
      <c r="O326" s="8" t="n">
        <v>0</v>
      </c>
      <c r="P326" s="8" t="n">
        <v>0</v>
      </c>
      <c r="Q326" s="8" t="n">
        <v>0</v>
      </c>
      <c r="R326" s="8" t="n">
        <v>0</v>
      </c>
      <c r="S326" s="8" t="n">
        <v>0</v>
      </c>
      <c r="T326" s="8" t="n">
        <v>1</v>
      </c>
      <c r="U326" s="8" t="n">
        <v>1</v>
      </c>
      <c r="V326" s="8" t="n">
        <v>0</v>
      </c>
      <c r="W326" s="8" t="n">
        <v>0</v>
      </c>
      <c r="X326" s="8" t="n">
        <v>0</v>
      </c>
      <c r="Y326" s="8" t="n">
        <v>0</v>
      </c>
      <c r="Z326" s="8" t="n">
        <v>0</v>
      </c>
      <c r="AA326" s="8" t="n">
        <v>0</v>
      </c>
      <c r="AB326" s="8" t="n">
        <v>0</v>
      </c>
      <c r="AC326" s="8" t="n">
        <v>0</v>
      </c>
      <c r="AD326" s="8" t="n">
        <v>0</v>
      </c>
    </row>
    <row r="327" customFormat="false" ht="15" hidden="false" customHeight="false" outlineLevel="0" collapsed="false">
      <c r="A327" s="38" t="s">
        <v>2072</v>
      </c>
      <c r="B327" s="8" t="s">
        <v>1669</v>
      </c>
      <c r="C327" s="39" t="n">
        <v>13000</v>
      </c>
      <c r="D327" s="40" t="n">
        <v>46295</v>
      </c>
      <c r="E327" s="8" t="n">
        <v>17</v>
      </c>
      <c r="F327" s="39" t="n">
        <v>2036</v>
      </c>
      <c r="G327" s="39" t="n">
        <v>133</v>
      </c>
      <c r="H327" s="39" t="n">
        <v>3</v>
      </c>
      <c r="I327" s="39" t="n">
        <v>0</v>
      </c>
      <c r="J327" s="39" t="n">
        <v>15</v>
      </c>
      <c r="K327" s="8" t="s">
        <v>1240</v>
      </c>
      <c r="L327" s="41" t="s">
        <v>2073</v>
      </c>
      <c r="M327" s="42" t="n">
        <f aca="false">IFERROR(I327/F327,0)</f>
        <v>0</v>
      </c>
      <c r="N327" s="42" t="n">
        <f aca="false">IFERROR(J327/F327,0)</f>
        <v>0.00736738703339882</v>
      </c>
      <c r="O327" s="8" t="n">
        <v>0</v>
      </c>
      <c r="P327" s="8" t="n">
        <v>0</v>
      </c>
      <c r="Q327" s="8" t="n">
        <v>0</v>
      </c>
      <c r="R327" s="8" t="n">
        <v>0</v>
      </c>
      <c r="S327" s="8" t="n">
        <v>0</v>
      </c>
      <c r="T327" s="8" t="n">
        <v>0</v>
      </c>
      <c r="U327" s="8" t="n">
        <v>0</v>
      </c>
      <c r="V327" s="8" t="n">
        <v>0</v>
      </c>
      <c r="W327" s="8" t="n">
        <v>1</v>
      </c>
      <c r="X327" s="8" t="n">
        <v>1</v>
      </c>
      <c r="Y327" s="8" t="n">
        <v>0</v>
      </c>
      <c r="Z327" s="8" t="n">
        <v>0</v>
      </c>
      <c r="AA327" s="8" t="n">
        <v>0</v>
      </c>
      <c r="AB327" s="8" t="n">
        <v>0</v>
      </c>
      <c r="AC327" s="8" t="n">
        <v>0</v>
      </c>
      <c r="AD327" s="8" t="n">
        <v>0</v>
      </c>
    </row>
    <row r="328" customFormat="false" ht="15" hidden="false" customHeight="false" outlineLevel="0" collapsed="false">
      <c r="A328" s="38" t="s">
        <v>2074</v>
      </c>
      <c r="B328" s="8" t="s">
        <v>2075</v>
      </c>
      <c r="C328" s="39" t="n">
        <v>5829</v>
      </c>
      <c r="D328" s="40" t="n">
        <v>46202</v>
      </c>
      <c r="E328" s="8" t="n">
        <v>44</v>
      </c>
      <c r="F328" s="39" t="n">
        <v>2016</v>
      </c>
      <c r="G328" s="39" t="n">
        <v>46</v>
      </c>
      <c r="H328" s="39" t="n">
        <v>2</v>
      </c>
      <c r="I328" s="39" t="n">
        <v>3</v>
      </c>
      <c r="J328" s="39" t="n">
        <v>8</v>
      </c>
      <c r="K328" s="8" t="s">
        <v>1240</v>
      </c>
      <c r="L328" s="41" t="s">
        <v>2076</v>
      </c>
      <c r="M328" s="42" t="n">
        <f aca="false">IFERROR(I328/F328,0)</f>
        <v>0.00148809523809524</v>
      </c>
      <c r="N328" s="42" t="n">
        <f aca="false">IFERROR(J328/F328,0)</f>
        <v>0.00396825396825397</v>
      </c>
      <c r="O328" s="8" t="n">
        <v>0</v>
      </c>
      <c r="P328" s="8" t="n">
        <v>0</v>
      </c>
      <c r="Q328" s="8" t="n">
        <v>0</v>
      </c>
      <c r="R328" s="8" t="n">
        <v>0</v>
      </c>
      <c r="S328" s="8" t="n">
        <v>0</v>
      </c>
      <c r="T328" s="8" t="n">
        <v>0</v>
      </c>
      <c r="U328" s="8" t="n">
        <v>0</v>
      </c>
      <c r="V328" s="8" t="n">
        <v>1</v>
      </c>
      <c r="W328" s="8" t="n">
        <v>0</v>
      </c>
      <c r="X328" s="8" t="n">
        <v>0</v>
      </c>
      <c r="Y328" s="8" t="n">
        <v>0</v>
      </c>
      <c r="Z328" s="8" t="n">
        <v>0</v>
      </c>
      <c r="AA328" s="8" t="n">
        <v>0</v>
      </c>
      <c r="AB328" s="8" t="n">
        <v>0</v>
      </c>
      <c r="AC328" s="8" t="n">
        <v>0</v>
      </c>
      <c r="AD328" s="8" t="n">
        <v>0</v>
      </c>
    </row>
    <row r="329" customFormat="false" ht="15" hidden="false" customHeight="false" outlineLevel="0" collapsed="false">
      <c r="A329" s="38" t="s">
        <v>2077</v>
      </c>
      <c r="B329" s="8" t="s">
        <v>1640</v>
      </c>
      <c r="C329" s="39" t="n">
        <v>3247</v>
      </c>
      <c r="D329" s="40" t="n">
        <v>46106</v>
      </c>
      <c r="E329" s="8" t="n">
        <v>50</v>
      </c>
      <c r="F329" s="39" t="n">
        <v>2009</v>
      </c>
      <c r="G329" s="39" t="n">
        <v>26</v>
      </c>
      <c r="H329" s="39" t="n">
        <v>3</v>
      </c>
      <c r="I329" s="39" t="n">
        <v>5</v>
      </c>
      <c r="J329" s="39" t="n">
        <v>10</v>
      </c>
      <c r="K329" s="8" t="s">
        <v>1243</v>
      </c>
      <c r="L329" s="41" t="s">
        <v>2078</v>
      </c>
      <c r="M329" s="42" t="n">
        <f aca="false">IFERROR(I329/F329,0)</f>
        <v>0.00248880039820806</v>
      </c>
      <c r="N329" s="42" t="n">
        <f aca="false">IFERROR(J329/F329,0)</f>
        <v>0.00497760079641613</v>
      </c>
      <c r="O329" s="8" t="n">
        <v>0</v>
      </c>
      <c r="P329" s="8" t="n">
        <v>0</v>
      </c>
      <c r="Q329" s="8" t="n">
        <v>0</v>
      </c>
      <c r="R329" s="8" t="n">
        <v>0</v>
      </c>
      <c r="S329" s="8" t="n">
        <v>0</v>
      </c>
      <c r="T329" s="8" t="n">
        <v>0</v>
      </c>
      <c r="U329" s="8" t="n">
        <v>0</v>
      </c>
      <c r="V329" s="8" t="n">
        <v>0</v>
      </c>
      <c r="W329" s="8" t="n">
        <v>0</v>
      </c>
      <c r="X329" s="8" t="n">
        <v>0</v>
      </c>
      <c r="Y329" s="8" t="n">
        <v>0</v>
      </c>
      <c r="Z329" s="8" t="n">
        <v>0</v>
      </c>
      <c r="AA329" s="8" t="n">
        <v>0</v>
      </c>
      <c r="AB329" s="8" t="n">
        <v>1</v>
      </c>
      <c r="AC329" s="8" t="n">
        <v>0</v>
      </c>
      <c r="AD329" s="8" t="n">
        <v>0</v>
      </c>
    </row>
    <row r="330" customFormat="false" ht="15" hidden="false" customHeight="false" outlineLevel="0" collapsed="false">
      <c r="A330" s="38" t="s">
        <v>2079</v>
      </c>
      <c r="B330" s="8" t="s">
        <v>2080</v>
      </c>
      <c r="C330" s="39" t="n">
        <v>89</v>
      </c>
      <c r="D330" s="40" t="n">
        <v>45441</v>
      </c>
      <c r="E330" s="8" t="n">
        <v>23</v>
      </c>
      <c r="F330" s="39" t="n">
        <v>1990</v>
      </c>
      <c r="G330" s="39" t="n">
        <v>17</v>
      </c>
      <c r="H330" s="39" t="n">
        <v>0</v>
      </c>
      <c r="I330" s="39" t="n">
        <v>2</v>
      </c>
      <c r="J330" s="39" t="n">
        <v>2</v>
      </c>
      <c r="K330" s="8" t="s">
        <v>1243</v>
      </c>
      <c r="L330" s="41" t="s">
        <v>2081</v>
      </c>
      <c r="M330" s="42" t="n">
        <f aca="false">IFERROR(I330/F330,0)</f>
        <v>0.00100502512562814</v>
      </c>
      <c r="N330" s="42" t="n">
        <f aca="false">IFERROR(J330/F330,0)</f>
        <v>0.00100502512562814</v>
      </c>
      <c r="O330" s="8" t="n">
        <v>1</v>
      </c>
      <c r="P330" s="8" t="n">
        <v>0</v>
      </c>
      <c r="Q330" s="8" t="n">
        <v>0</v>
      </c>
      <c r="R330" s="8" t="n">
        <v>1</v>
      </c>
      <c r="S330" s="8" t="n">
        <v>0</v>
      </c>
      <c r="T330" s="8" t="n">
        <v>0</v>
      </c>
      <c r="U330" s="8" t="n">
        <v>0</v>
      </c>
      <c r="V330" s="8" t="n">
        <v>0</v>
      </c>
      <c r="W330" s="8" t="n">
        <v>1</v>
      </c>
      <c r="X330" s="8" t="n">
        <v>1</v>
      </c>
      <c r="Y330" s="8" t="n">
        <v>0</v>
      </c>
      <c r="Z330" s="8" t="n">
        <v>0</v>
      </c>
      <c r="AA330" s="8" t="n">
        <v>0</v>
      </c>
      <c r="AB330" s="8" t="n">
        <v>0</v>
      </c>
      <c r="AC330" s="8" t="n">
        <v>0</v>
      </c>
      <c r="AD330" s="8" t="n">
        <v>0</v>
      </c>
    </row>
    <row r="331" customFormat="false" ht="15" hidden="false" customHeight="false" outlineLevel="0" collapsed="false">
      <c r="A331" s="38" t="s">
        <v>2082</v>
      </c>
      <c r="B331" s="8" t="s">
        <v>2083</v>
      </c>
      <c r="C331" s="39" t="n">
        <v>1343</v>
      </c>
      <c r="D331" s="40" t="n">
        <v>45823</v>
      </c>
      <c r="E331" s="8" t="n">
        <v>68</v>
      </c>
      <c r="F331" s="39" t="n">
        <v>1956</v>
      </c>
      <c r="G331" s="39" t="n">
        <v>42</v>
      </c>
      <c r="H331" s="39" t="n">
        <v>7</v>
      </c>
      <c r="I331" s="39" t="n">
        <v>3</v>
      </c>
      <c r="J331" s="39" t="n">
        <v>1</v>
      </c>
      <c r="K331" s="8" t="s">
        <v>1240</v>
      </c>
      <c r="L331" s="41" t="s">
        <v>2084</v>
      </c>
      <c r="M331" s="42" t="n">
        <f aca="false">IFERROR(I331/F331,0)</f>
        <v>0.00153374233128834</v>
      </c>
      <c r="N331" s="42" t="n">
        <f aca="false">IFERROR(J331/F331,0)</f>
        <v>0.000511247443762781</v>
      </c>
      <c r="O331" s="8" t="n">
        <v>0</v>
      </c>
      <c r="P331" s="8" t="n">
        <v>0</v>
      </c>
      <c r="Q331" s="8" t="n">
        <v>0</v>
      </c>
      <c r="R331" s="8" t="n">
        <v>0</v>
      </c>
      <c r="S331" s="8" t="n">
        <v>0</v>
      </c>
      <c r="T331" s="8" t="n">
        <v>0</v>
      </c>
      <c r="U331" s="8" t="n">
        <v>0</v>
      </c>
      <c r="V331" s="8" t="n">
        <v>0</v>
      </c>
      <c r="W331" s="8" t="n">
        <v>0</v>
      </c>
      <c r="X331" s="8" t="n">
        <v>0</v>
      </c>
      <c r="Y331" s="8" t="n">
        <v>0</v>
      </c>
      <c r="Z331" s="8" t="n">
        <v>0</v>
      </c>
      <c r="AA331" s="8" t="n">
        <v>0</v>
      </c>
      <c r="AB331" s="8" t="n">
        <v>0</v>
      </c>
      <c r="AC331" s="8" t="n">
        <v>0</v>
      </c>
      <c r="AD331" s="8" t="n">
        <v>0</v>
      </c>
    </row>
    <row r="332" customFormat="false" ht="15" hidden="false" customHeight="false" outlineLevel="0" collapsed="false">
      <c r="A332" s="38" t="s">
        <v>2085</v>
      </c>
      <c r="B332" s="8" t="s">
        <v>1713</v>
      </c>
      <c r="C332" s="39" t="n">
        <v>200500</v>
      </c>
      <c r="D332" s="40" t="n">
        <v>46308</v>
      </c>
      <c r="E332" s="8" t="n">
        <v>144</v>
      </c>
      <c r="F332" s="39" t="n">
        <v>1954</v>
      </c>
      <c r="G332" s="39" t="n">
        <v>117</v>
      </c>
      <c r="H332" s="39" t="n">
        <v>18</v>
      </c>
      <c r="I332" s="39" t="n">
        <v>1</v>
      </c>
      <c r="J332" s="39" t="n">
        <v>1</v>
      </c>
      <c r="K332" s="8" t="s">
        <v>1243</v>
      </c>
      <c r="L332" s="41" t="s">
        <v>2086</v>
      </c>
      <c r="M332" s="42" t="n">
        <f aca="false">IFERROR(I332/F332,0)</f>
        <v>0.000511770726714432</v>
      </c>
      <c r="N332" s="42" t="n">
        <f aca="false">IFERROR(J332/F332,0)</f>
        <v>0.000511770726714432</v>
      </c>
      <c r="O332" s="8" t="n">
        <v>1</v>
      </c>
      <c r="P332" s="8" t="n">
        <v>1</v>
      </c>
      <c r="Q332" s="8" t="n">
        <v>0</v>
      </c>
      <c r="R332" s="8" t="n">
        <v>0</v>
      </c>
      <c r="S332" s="8" t="n">
        <v>0</v>
      </c>
      <c r="T332" s="8" t="n">
        <v>0</v>
      </c>
      <c r="U332" s="8" t="n">
        <v>0</v>
      </c>
      <c r="V332" s="8" t="n">
        <v>0</v>
      </c>
      <c r="W332" s="8" t="n">
        <v>0</v>
      </c>
      <c r="X332" s="8" t="n">
        <v>0</v>
      </c>
      <c r="Y332" s="8" t="n">
        <v>0</v>
      </c>
      <c r="Z332" s="8" t="n">
        <v>0</v>
      </c>
      <c r="AA332" s="8" t="n">
        <v>0</v>
      </c>
      <c r="AB332" s="8" t="n">
        <v>0</v>
      </c>
      <c r="AC332" s="8" t="n">
        <v>0</v>
      </c>
      <c r="AD332" s="8" t="n">
        <v>0</v>
      </c>
    </row>
    <row r="333" customFormat="false" ht="15" hidden="false" customHeight="false" outlineLevel="0" collapsed="false">
      <c r="A333" s="38" t="s">
        <v>2087</v>
      </c>
      <c r="B333" s="8" t="s">
        <v>2088</v>
      </c>
      <c r="C333" s="39" t="n">
        <v>15800</v>
      </c>
      <c r="D333" s="40" t="n">
        <v>44591</v>
      </c>
      <c r="E333" s="8" t="n">
        <v>47</v>
      </c>
      <c r="F333" s="39" t="n">
        <v>1947</v>
      </c>
      <c r="G333" s="39" t="n">
        <v>307</v>
      </c>
      <c r="H333" s="39" t="n">
        <v>29</v>
      </c>
      <c r="I333" s="39" t="n">
        <v>7</v>
      </c>
      <c r="J333" s="39" t="n">
        <v>33</v>
      </c>
      <c r="K333" s="8" t="s">
        <v>1243</v>
      </c>
      <c r="L333" s="41" t="s">
        <v>2089</v>
      </c>
      <c r="M333" s="42" t="n">
        <f aca="false">IFERROR(I333/F333,0)</f>
        <v>0.00359527478171546</v>
      </c>
      <c r="N333" s="42" t="n">
        <f aca="false">IFERROR(J333/F333,0)</f>
        <v>0.0169491525423729</v>
      </c>
      <c r="O333" s="8" t="n">
        <v>1</v>
      </c>
      <c r="P333" s="8" t="n">
        <v>0</v>
      </c>
      <c r="Q333" s="8" t="n">
        <v>0</v>
      </c>
      <c r="R333" s="8" t="n">
        <v>1</v>
      </c>
      <c r="S333" s="8" t="n">
        <v>0</v>
      </c>
      <c r="T333" s="8" t="n">
        <v>0</v>
      </c>
      <c r="U333" s="8" t="n">
        <v>0</v>
      </c>
      <c r="V333" s="8" t="n">
        <v>0</v>
      </c>
      <c r="W333" s="8" t="n">
        <v>0</v>
      </c>
      <c r="X333" s="8" t="n">
        <v>0</v>
      </c>
      <c r="Y333" s="8" t="n">
        <v>0</v>
      </c>
      <c r="Z333" s="8" t="n">
        <v>0</v>
      </c>
      <c r="AA333" s="8" t="n">
        <v>0</v>
      </c>
      <c r="AB333" s="8" t="n">
        <v>0</v>
      </c>
      <c r="AC333" s="8" t="n">
        <v>0</v>
      </c>
      <c r="AD333" s="8" t="n">
        <v>0</v>
      </c>
    </row>
    <row r="334" customFormat="false" ht="15" hidden="false" customHeight="false" outlineLevel="0" collapsed="false">
      <c r="A334" s="38" t="s">
        <v>2090</v>
      </c>
      <c r="B334" s="8" t="s">
        <v>2091</v>
      </c>
      <c r="C334" s="39" t="n">
        <v>158</v>
      </c>
      <c r="D334" s="40" t="n">
        <v>45986</v>
      </c>
      <c r="E334" s="8" t="n">
        <v>34</v>
      </c>
      <c r="F334" s="39" t="n">
        <v>1916</v>
      </c>
      <c r="G334" s="39" t="n">
        <v>8</v>
      </c>
      <c r="H334" s="39" t="n">
        <v>0</v>
      </c>
      <c r="I334" s="39" t="n">
        <v>2</v>
      </c>
      <c r="J334" s="39" t="n">
        <v>1</v>
      </c>
      <c r="K334" s="8" t="s">
        <v>1240</v>
      </c>
      <c r="L334" s="41" t="s">
        <v>2092</v>
      </c>
      <c r="M334" s="42" t="n">
        <f aca="false">IFERROR(I334/F334,0)</f>
        <v>0.00104384133611691</v>
      </c>
      <c r="N334" s="42" t="n">
        <f aca="false">IFERROR(J334/F334,0)</f>
        <v>0.000521920668058455</v>
      </c>
      <c r="O334" s="8" t="n">
        <v>0</v>
      </c>
      <c r="P334" s="8" t="n">
        <v>0</v>
      </c>
      <c r="Q334" s="8" t="n">
        <v>0</v>
      </c>
      <c r="R334" s="8" t="n">
        <v>0</v>
      </c>
      <c r="S334" s="8" t="n">
        <v>0</v>
      </c>
      <c r="T334" s="8" t="n">
        <v>1</v>
      </c>
      <c r="U334" s="8" t="n">
        <v>0</v>
      </c>
      <c r="V334" s="8" t="n">
        <v>0</v>
      </c>
      <c r="W334" s="8" t="n">
        <v>1</v>
      </c>
      <c r="X334" s="8" t="n">
        <v>0</v>
      </c>
      <c r="Y334" s="8" t="n">
        <v>0</v>
      </c>
      <c r="Z334" s="8" t="n">
        <v>0</v>
      </c>
      <c r="AA334" s="8" t="n">
        <v>0</v>
      </c>
      <c r="AB334" s="8" t="n">
        <v>0</v>
      </c>
      <c r="AC334" s="8" t="n">
        <v>0</v>
      </c>
      <c r="AD334" s="8" t="n">
        <v>0</v>
      </c>
    </row>
    <row r="335" customFormat="false" ht="15" hidden="false" customHeight="false" outlineLevel="0" collapsed="false">
      <c r="A335" s="38" t="s">
        <v>2093</v>
      </c>
      <c r="B335" s="8" t="s">
        <v>1640</v>
      </c>
      <c r="C335" s="39" t="n">
        <v>3247</v>
      </c>
      <c r="D335" s="40" t="n">
        <v>46084</v>
      </c>
      <c r="E335" s="8" t="n">
        <v>23</v>
      </c>
      <c r="F335" s="39" t="n">
        <v>1808</v>
      </c>
      <c r="G335" s="39" t="n">
        <v>23</v>
      </c>
      <c r="H335" s="39" t="n">
        <v>0</v>
      </c>
      <c r="I335" s="39" t="n">
        <v>15</v>
      </c>
      <c r="J335" s="39" t="n">
        <v>7</v>
      </c>
      <c r="K335" s="8" t="s">
        <v>1243</v>
      </c>
      <c r="L335" s="41" t="s">
        <v>2078</v>
      </c>
      <c r="M335" s="42" t="n">
        <f aca="false">IFERROR(I335/F335,0)</f>
        <v>0.00829646017699115</v>
      </c>
      <c r="N335" s="42" t="n">
        <f aca="false">IFERROR(J335/F335,0)</f>
        <v>0.0038716814159292</v>
      </c>
      <c r="O335" s="8" t="n">
        <v>0</v>
      </c>
      <c r="P335" s="8" t="n">
        <v>0</v>
      </c>
      <c r="Q335" s="8" t="n">
        <v>0</v>
      </c>
      <c r="R335" s="8" t="n">
        <v>0</v>
      </c>
      <c r="S335" s="8" t="n">
        <v>0</v>
      </c>
      <c r="T335" s="8" t="n">
        <v>0</v>
      </c>
      <c r="U335" s="8" t="n">
        <v>0</v>
      </c>
      <c r="V335" s="8" t="n">
        <v>0</v>
      </c>
      <c r="W335" s="8" t="n">
        <v>0</v>
      </c>
      <c r="X335" s="8" t="n">
        <v>0</v>
      </c>
      <c r="Y335" s="8" t="n">
        <v>0</v>
      </c>
      <c r="Z335" s="8" t="n">
        <v>0</v>
      </c>
      <c r="AA335" s="8" t="n">
        <v>0</v>
      </c>
      <c r="AB335" s="8" t="n">
        <v>1</v>
      </c>
      <c r="AC335" s="8" t="n">
        <v>0</v>
      </c>
      <c r="AD335" s="8" t="n">
        <v>0</v>
      </c>
    </row>
    <row r="336" customFormat="false" ht="15" hidden="false" customHeight="false" outlineLevel="0" collapsed="false">
      <c r="A336" s="38" t="s">
        <v>2094</v>
      </c>
      <c r="B336" s="8" t="s">
        <v>1496</v>
      </c>
      <c r="C336" s="39" t="n">
        <v>12800</v>
      </c>
      <c r="D336" s="40" t="n">
        <v>46314</v>
      </c>
      <c r="E336" s="8" t="n">
        <v>29</v>
      </c>
      <c r="F336" s="39" t="n">
        <v>1806</v>
      </c>
      <c r="G336" s="39" t="n">
        <v>26</v>
      </c>
      <c r="H336" s="39" t="n">
        <v>0</v>
      </c>
      <c r="I336" s="39" t="n">
        <v>18</v>
      </c>
      <c r="J336" s="39" t="n">
        <v>13</v>
      </c>
      <c r="K336" s="8" t="s">
        <v>1243</v>
      </c>
      <c r="L336" s="41" t="s">
        <v>1497</v>
      </c>
      <c r="M336" s="42" t="n">
        <f aca="false">IFERROR(I336/F336,0)</f>
        <v>0.00996677740863787</v>
      </c>
      <c r="N336" s="42" t="n">
        <f aca="false">IFERROR(J336/F336,0)</f>
        <v>0.00719822812846069</v>
      </c>
      <c r="O336" s="8" t="n">
        <v>0</v>
      </c>
      <c r="P336" s="8" t="n">
        <v>0</v>
      </c>
      <c r="Q336" s="8" t="n">
        <v>1</v>
      </c>
      <c r="R336" s="8" t="n">
        <v>0</v>
      </c>
      <c r="S336" s="8" t="n">
        <v>0</v>
      </c>
      <c r="T336" s="8" t="n">
        <v>0</v>
      </c>
      <c r="U336" s="8" t="n">
        <v>1</v>
      </c>
      <c r="V336" s="8" t="n">
        <v>1</v>
      </c>
      <c r="W336" s="8" t="n">
        <v>0</v>
      </c>
      <c r="X336" s="8" t="n">
        <v>0</v>
      </c>
      <c r="Y336" s="8" t="n">
        <v>0</v>
      </c>
      <c r="Z336" s="8" t="n">
        <v>0</v>
      </c>
      <c r="AA336" s="8" t="n">
        <v>0</v>
      </c>
      <c r="AB336" s="8" t="n">
        <v>0</v>
      </c>
      <c r="AC336" s="8" t="n">
        <v>0</v>
      </c>
      <c r="AD336" s="8" t="n">
        <v>0</v>
      </c>
    </row>
    <row r="337" customFormat="false" ht="15" hidden="false" customHeight="false" outlineLevel="0" collapsed="false">
      <c r="A337" s="38" t="s">
        <v>2095</v>
      </c>
      <c r="B337" s="8" t="s">
        <v>2096</v>
      </c>
      <c r="C337" s="39" t="n">
        <v>23900</v>
      </c>
      <c r="D337" s="40" t="n">
        <v>46315</v>
      </c>
      <c r="E337" s="8" t="n">
        <v>78</v>
      </c>
      <c r="F337" s="39" t="n">
        <v>1800</v>
      </c>
      <c r="G337" s="39" t="n">
        <v>152</v>
      </c>
      <c r="H337" s="39" t="n">
        <v>10</v>
      </c>
      <c r="I337" s="39" t="n">
        <v>0</v>
      </c>
      <c r="J337" s="39" t="n">
        <v>3</v>
      </c>
      <c r="K337" s="8" t="s">
        <v>1240</v>
      </c>
      <c r="L337" s="41" t="s">
        <v>2097</v>
      </c>
      <c r="M337" s="42" t="n">
        <f aca="false">IFERROR(I337/F337,0)</f>
        <v>0</v>
      </c>
      <c r="N337" s="42" t="n">
        <f aca="false">IFERROR(J337/F337,0)</f>
        <v>0.00166666666666667</v>
      </c>
      <c r="O337" s="8" t="n">
        <v>1</v>
      </c>
      <c r="P337" s="8" t="n">
        <v>0</v>
      </c>
      <c r="Q337" s="8" t="n">
        <v>0</v>
      </c>
      <c r="R337" s="8" t="n">
        <v>0</v>
      </c>
      <c r="S337" s="8" t="n">
        <v>0</v>
      </c>
      <c r="T337" s="8" t="n">
        <v>0</v>
      </c>
      <c r="U337" s="8" t="n">
        <v>0</v>
      </c>
      <c r="V337" s="8" t="n">
        <v>0</v>
      </c>
      <c r="W337" s="8" t="n">
        <v>0</v>
      </c>
      <c r="X337" s="8" t="n">
        <v>0</v>
      </c>
      <c r="Y337" s="8" t="n">
        <v>0</v>
      </c>
      <c r="Z337" s="8" t="n">
        <v>0</v>
      </c>
      <c r="AA337" s="8" t="n">
        <v>0</v>
      </c>
      <c r="AB337" s="8" t="n">
        <v>0</v>
      </c>
      <c r="AC337" s="8" t="n">
        <v>0</v>
      </c>
      <c r="AD337" s="8" t="n">
        <v>0</v>
      </c>
    </row>
    <row r="338" customFormat="false" ht="15" hidden="false" customHeight="false" outlineLevel="0" collapsed="false">
      <c r="A338" s="38" t="s">
        <v>2098</v>
      </c>
      <c r="B338" s="8" t="s">
        <v>1837</v>
      </c>
      <c r="C338" s="39" t="n">
        <v>21500</v>
      </c>
      <c r="D338" s="40" t="n">
        <v>46312</v>
      </c>
      <c r="E338" s="8" t="n">
        <v>50</v>
      </c>
      <c r="F338" s="39" t="n">
        <v>1764</v>
      </c>
      <c r="G338" s="39" t="n">
        <v>72</v>
      </c>
      <c r="H338" s="39" t="n">
        <v>2</v>
      </c>
      <c r="I338" s="39" t="n">
        <v>0</v>
      </c>
      <c r="J338" s="39" t="n">
        <v>1</v>
      </c>
      <c r="K338" s="8" t="s">
        <v>1240</v>
      </c>
      <c r="L338" s="41"/>
      <c r="M338" s="42" t="n">
        <f aca="false">IFERROR(I338/F338,0)</f>
        <v>0</v>
      </c>
      <c r="N338" s="42" t="n">
        <f aca="false">IFERROR(J338/F338,0)</f>
        <v>0.000566893424036281</v>
      </c>
      <c r="O338" s="8" t="n">
        <v>0</v>
      </c>
      <c r="P338" s="8" t="n">
        <v>1</v>
      </c>
      <c r="Q338" s="8" t="n">
        <v>0</v>
      </c>
      <c r="R338" s="8" t="n">
        <v>0</v>
      </c>
      <c r="S338" s="8" t="n">
        <v>0</v>
      </c>
      <c r="T338" s="8" t="n">
        <v>0</v>
      </c>
      <c r="U338" s="8" t="n">
        <v>0</v>
      </c>
      <c r="V338" s="8" t="n">
        <v>0</v>
      </c>
      <c r="W338" s="8" t="n">
        <v>0</v>
      </c>
      <c r="X338" s="8" t="n">
        <v>0</v>
      </c>
      <c r="Y338" s="8" t="n">
        <v>0</v>
      </c>
      <c r="Z338" s="8" t="n">
        <v>0</v>
      </c>
      <c r="AA338" s="8" t="n">
        <v>0</v>
      </c>
      <c r="AB338" s="8" t="n">
        <v>0</v>
      </c>
      <c r="AC338" s="8" t="n">
        <v>0</v>
      </c>
      <c r="AD338" s="8" t="n">
        <v>0</v>
      </c>
    </row>
    <row r="339" customFormat="false" ht="15" hidden="false" customHeight="false" outlineLevel="0" collapsed="false">
      <c r="A339" s="38" t="s">
        <v>2099</v>
      </c>
      <c r="B339" s="8" t="s">
        <v>1640</v>
      </c>
      <c r="C339" s="39" t="n">
        <v>3247</v>
      </c>
      <c r="D339" s="40" t="n">
        <v>46058</v>
      </c>
      <c r="E339" s="8" t="n">
        <v>31</v>
      </c>
      <c r="F339" s="39" t="n">
        <v>1761</v>
      </c>
      <c r="G339" s="39" t="n">
        <v>15</v>
      </c>
      <c r="H339" s="39" t="n">
        <v>0</v>
      </c>
      <c r="I339" s="39" t="n">
        <v>3</v>
      </c>
      <c r="J339" s="39" t="n">
        <v>6</v>
      </c>
      <c r="K339" s="8" t="s">
        <v>1243</v>
      </c>
      <c r="L339" s="41" t="s">
        <v>2100</v>
      </c>
      <c r="M339" s="42" t="n">
        <f aca="false">IFERROR(I339/F339,0)</f>
        <v>0.00170357751277683</v>
      </c>
      <c r="N339" s="42" t="n">
        <f aca="false">IFERROR(J339/F339,0)</f>
        <v>0.00340715502555366</v>
      </c>
      <c r="O339" s="8" t="n">
        <v>0</v>
      </c>
      <c r="P339" s="8" t="n">
        <v>0</v>
      </c>
      <c r="Q339" s="8" t="n">
        <v>0</v>
      </c>
      <c r="R339" s="8" t="n">
        <v>0</v>
      </c>
      <c r="S339" s="8" t="n">
        <v>0</v>
      </c>
      <c r="T339" s="8" t="n">
        <v>0</v>
      </c>
      <c r="U339" s="8" t="n">
        <v>0</v>
      </c>
      <c r="V339" s="8" t="n">
        <v>0</v>
      </c>
      <c r="W339" s="8" t="n">
        <v>0</v>
      </c>
      <c r="X339" s="8" t="n">
        <v>0</v>
      </c>
      <c r="Y339" s="8" t="n">
        <v>0</v>
      </c>
      <c r="Z339" s="8" t="n">
        <v>0</v>
      </c>
      <c r="AA339" s="8" t="n">
        <v>0</v>
      </c>
      <c r="AB339" s="8" t="n">
        <v>1</v>
      </c>
      <c r="AC339" s="8" t="n">
        <v>0</v>
      </c>
      <c r="AD339" s="8" t="n">
        <v>0</v>
      </c>
    </row>
    <row r="340" customFormat="false" ht="15" hidden="false" customHeight="false" outlineLevel="0" collapsed="false">
      <c r="A340" s="38" t="s">
        <v>2101</v>
      </c>
      <c r="B340" s="8" t="s">
        <v>1330</v>
      </c>
      <c r="C340" s="39" t="n">
        <v>547900</v>
      </c>
      <c r="D340" s="40" t="n">
        <v>46316</v>
      </c>
      <c r="E340" s="8" t="n">
        <v>48</v>
      </c>
      <c r="F340" s="39" t="n">
        <v>1724</v>
      </c>
      <c r="G340" s="39" t="n">
        <v>103</v>
      </c>
      <c r="H340" s="39" t="n">
        <v>3</v>
      </c>
      <c r="I340" s="39" t="n">
        <v>1</v>
      </c>
      <c r="J340" s="39" t="n">
        <v>9</v>
      </c>
      <c r="K340" s="8" t="s">
        <v>1240</v>
      </c>
      <c r="L340" s="41" t="s">
        <v>1331</v>
      </c>
      <c r="M340" s="42" t="n">
        <f aca="false">IFERROR(I340/F340,0)</f>
        <v>0.000580046403712297</v>
      </c>
      <c r="N340" s="42" t="n">
        <f aca="false">IFERROR(J340/F340,0)</f>
        <v>0.00522041763341067</v>
      </c>
      <c r="O340" s="8" t="n">
        <v>0</v>
      </c>
      <c r="P340" s="8" t="n">
        <v>0</v>
      </c>
      <c r="Q340" s="8" t="n">
        <v>0</v>
      </c>
      <c r="R340" s="8" t="n">
        <v>0</v>
      </c>
      <c r="S340" s="8" t="n">
        <v>0</v>
      </c>
      <c r="T340" s="8" t="n">
        <v>0</v>
      </c>
      <c r="U340" s="8" t="n">
        <v>0</v>
      </c>
      <c r="V340" s="8" t="n">
        <v>0</v>
      </c>
      <c r="W340" s="8" t="n">
        <v>0</v>
      </c>
      <c r="X340" s="8" t="n">
        <v>0</v>
      </c>
      <c r="Y340" s="8" t="n">
        <v>0</v>
      </c>
      <c r="Z340" s="8" t="n">
        <v>0</v>
      </c>
      <c r="AA340" s="8" t="n">
        <v>0</v>
      </c>
      <c r="AB340" s="8" t="n">
        <v>0</v>
      </c>
      <c r="AC340" s="8" t="n">
        <v>0</v>
      </c>
      <c r="AD340" s="8" t="n">
        <v>0</v>
      </c>
    </row>
    <row r="341" customFormat="false" ht="15" hidden="false" customHeight="false" outlineLevel="0" collapsed="false">
      <c r="A341" s="38" t="s">
        <v>2102</v>
      </c>
      <c r="B341" s="8" t="s">
        <v>2103</v>
      </c>
      <c r="C341" s="39" t="n">
        <v>7888</v>
      </c>
      <c r="D341" s="40" t="n">
        <v>46314</v>
      </c>
      <c r="E341" s="8" t="n">
        <v>53</v>
      </c>
      <c r="F341" s="39" t="n">
        <v>1683</v>
      </c>
      <c r="G341" s="39" t="n">
        <v>188</v>
      </c>
      <c r="H341" s="39" t="n">
        <v>15</v>
      </c>
      <c r="I341" s="39" t="n">
        <v>0</v>
      </c>
      <c r="J341" s="39" t="n">
        <v>18</v>
      </c>
      <c r="K341" s="8" t="s">
        <v>1240</v>
      </c>
      <c r="L341" s="41" t="s">
        <v>2104</v>
      </c>
      <c r="M341" s="42" t="n">
        <f aca="false">IFERROR(I341/F341,0)</f>
        <v>0</v>
      </c>
      <c r="N341" s="42" t="n">
        <f aca="false">IFERROR(J341/F341,0)</f>
        <v>0.0106951871657754</v>
      </c>
      <c r="O341" s="8" t="n">
        <v>0</v>
      </c>
      <c r="P341" s="8" t="n">
        <v>0</v>
      </c>
      <c r="Q341" s="8" t="n">
        <v>0</v>
      </c>
      <c r="R341" s="8" t="n">
        <v>0</v>
      </c>
      <c r="S341" s="8" t="n">
        <v>0</v>
      </c>
      <c r="T341" s="8" t="n">
        <v>0</v>
      </c>
      <c r="U341" s="8" t="n">
        <v>0</v>
      </c>
      <c r="V341" s="8" t="n">
        <v>0</v>
      </c>
      <c r="W341" s="8" t="n">
        <v>0</v>
      </c>
      <c r="X341" s="8" t="n">
        <v>0</v>
      </c>
      <c r="Y341" s="8" t="n">
        <v>0</v>
      </c>
      <c r="Z341" s="8" t="n">
        <v>0</v>
      </c>
      <c r="AA341" s="8" t="n">
        <v>0</v>
      </c>
      <c r="AB341" s="8" t="n">
        <v>0</v>
      </c>
      <c r="AC341" s="8" t="n">
        <v>0</v>
      </c>
      <c r="AD341" s="8" t="n">
        <v>0</v>
      </c>
    </row>
    <row r="342" customFormat="false" ht="15" hidden="false" customHeight="false" outlineLevel="0" collapsed="false">
      <c r="A342" s="38" t="s">
        <v>2105</v>
      </c>
      <c r="B342" s="8" t="s">
        <v>2106</v>
      </c>
      <c r="C342" s="39" t="n">
        <v>3419</v>
      </c>
      <c r="D342" s="40" t="n">
        <v>46315</v>
      </c>
      <c r="E342" s="8" t="n">
        <v>55</v>
      </c>
      <c r="F342" s="39" t="n">
        <v>1669</v>
      </c>
      <c r="G342" s="39" t="n">
        <v>13</v>
      </c>
      <c r="H342" s="39" t="n">
        <v>0</v>
      </c>
      <c r="I342" s="39" t="n">
        <v>8</v>
      </c>
      <c r="J342" s="39" t="n">
        <v>10</v>
      </c>
      <c r="K342" s="8" t="s">
        <v>1240</v>
      </c>
      <c r="L342" s="41" t="s">
        <v>2107</v>
      </c>
      <c r="M342" s="42" t="n">
        <f aca="false">IFERROR(I342/F342,0)</f>
        <v>0.00479328939484721</v>
      </c>
      <c r="N342" s="42" t="n">
        <f aca="false">IFERROR(J342/F342,0)</f>
        <v>0.00599161174355902</v>
      </c>
      <c r="O342" s="8" t="n">
        <v>0</v>
      </c>
      <c r="P342" s="8" t="n">
        <v>0</v>
      </c>
      <c r="Q342" s="8" t="n">
        <v>0</v>
      </c>
      <c r="R342" s="8" t="n">
        <v>0</v>
      </c>
      <c r="S342" s="8" t="n">
        <v>0</v>
      </c>
      <c r="T342" s="8" t="n">
        <v>1</v>
      </c>
      <c r="U342" s="8" t="n">
        <v>0</v>
      </c>
      <c r="V342" s="8" t="n">
        <v>0</v>
      </c>
      <c r="W342" s="8" t="n">
        <v>0</v>
      </c>
      <c r="X342" s="8" t="n">
        <v>1</v>
      </c>
      <c r="Y342" s="8" t="n">
        <v>0</v>
      </c>
      <c r="Z342" s="8" t="n">
        <v>0</v>
      </c>
      <c r="AA342" s="8" t="n">
        <v>0</v>
      </c>
      <c r="AB342" s="8" t="n">
        <v>0</v>
      </c>
      <c r="AC342" s="8" t="n">
        <v>0</v>
      </c>
      <c r="AD342" s="8" t="n">
        <v>0</v>
      </c>
    </row>
    <row r="343" customFormat="false" ht="15" hidden="false" customHeight="false" outlineLevel="0" collapsed="false">
      <c r="A343" s="38" t="s">
        <v>2108</v>
      </c>
      <c r="B343" s="8" t="s">
        <v>2109</v>
      </c>
      <c r="C343" s="39" t="n">
        <v>85</v>
      </c>
      <c r="D343" s="40" t="n">
        <v>46065</v>
      </c>
      <c r="E343" s="8" t="n">
        <v>60</v>
      </c>
      <c r="F343" s="39" t="n">
        <v>1661</v>
      </c>
      <c r="G343" s="39" t="n">
        <v>5</v>
      </c>
      <c r="H343" s="39" t="n">
        <v>0</v>
      </c>
      <c r="I343" s="39" t="n">
        <v>0</v>
      </c>
      <c r="J343" s="39" t="n">
        <v>4</v>
      </c>
      <c r="K343" s="8" t="s">
        <v>1240</v>
      </c>
      <c r="L343" s="41" t="s">
        <v>2110</v>
      </c>
      <c r="M343" s="42" t="n">
        <f aca="false">IFERROR(I343/F343,0)</f>
        <v>0</v>
      </c>
      <c r="N343" s="42" t="n">
        <f aca="false">IFERROR(J343/F343,0)</f>
        <v>0.00240818783865142</v>
      </c>
      <c r="O343" s="8" t="n">
        <v>0</v>
      </c>
      <c r="P343" s="8" t="n">
        <v>0</v>
      </c>
      <c r="Q343" s="8" t="n">
        <v>0</v>
      </c>
      <c r="R343" s="8" t="n">
        <v>0</v>
      </c>
      <c r="S343" s="8" t="n">
        <v>0</v>
      </c>
      <c r="T343" s="8" t="n">
        <v>1</v>
      </c>
      <c r="U343" s="8" t="n">
        <v>0</v>
      </c>
      <c r="V343" s="8" t="n">
        <v>0</v>
      </c>
      <c r="W343" s="8" t="n">
        <v>0</v>
      </c>
      <c r="X343" s="8" t="n">
        <v>0</v>
      </c>
      <c r="Y343" s="8" t="n">
        <v>0</v>
      </c>
      <c r="Z343" s="8" t="n">
        <v>0</v>
      </c>
      <c r="AA343" s="8" t="n">
        <v>0</v>
      </c>
      <c r="AB343" s="8" t="n">
        <v>0</v>
      </c>
      <c r="AC343" s="8" t="n">
        <v>0</v>
      </c>
      <c r="AD343" s="8" t="n">
        <v>0</v>
      </c>
    </row>
    <row r="344" customFormat="false" ht="15" hidden="false" customHeight="false" outlineLevel="0" collapsed="false">
      <c r="A344" s="38" t="s">
        <v>2111</v>
      </c>
      <c r="B344" s="8" t="s">
        <v>2112</v>
      </c>
      <c r="C344" s="39" t="n">
        <v>2578</v>
      </c>
      <c r="D344" s="40" t="n">
        <v>46314</v>
      </c>
      <c r="E344" s="8" t="n">
        <v>9</v>
      </c>
      <c r="F344" s="39" t="n">
        <v>1658</v>
      </c>
      <c r="G344" s="39" t="n">
        <v>103</v>
      </c>
      <c r="H344" s="39" t="n">
        <v>0</v>
      </c>
      <c r="I344" s="39" t="n">
        <v>2</v>
      </c>
      <c r="J344" s="39" t="n">
        <v>1</v>
      </c>
      <c r="K344" s="8" t="s">
        <v>1240</v>
      </c>
      <c r="L344" s="41" t="s">
        <v>2113</v>
      </c>
      <c r="M344" s="42" t="n">
        <f aca="false">IFERROR(I344/F344,0)</f>
        <v>0.00120627261761158</v>
      </c>
      <c r="N344" s="42" t="n">
        <f aca="false">IFERROR(J344/F344,0)</f>
        <v>0.00060313630880579</v>
      </c>
      <c r="O344" s="8" t="n">
        <v>1</v>
      </c>
      <c r="P344" s="8" t="n">
        <v>0</v>
      </c>
      <c r="Q344" s="8" t="n">
        <v>0</v>
      </c>
      <c r="R344" s="8" t="n">
        <v>0</v>
      </c>
      <c r="S344" s="8" t="n">
        <v>0</v>
      </c>
      <c r="T344" s="8" t="n">
        <v>0</v>
      </c>
      <c r="U344" s="8" t="n">
        <v>0</v>
      </c>
      <c r="V344" s="8" t="n">
        <v>0</v>
      </c>
      <c r="W344" s="8" t="n">
        <v>0</v>
      </c>
      <c r="X344" s="8" t="n">
        <v>0</v>
      </c>
      <c r="Y344" s="8" t="n">
        <v>0</v>
      </c>
      <c r="Z344" s="8" t="n">
        <v>0</v>
      </c>
      <c r="AA344" s="8" t="n">
        <v>0</v>
      </c>
      <c r="AB344" s="8" t="n">
        <v>0</v>
      </c>
      <c r="AC344" s="8" t="n">
        <v>0</v>
      </c>
      <c r="AD344" s="8" t="n">
        <v>0</v>
      </c>
    </row>
    <row r="345" customFormat="false" ht="15" hidden="false" customHeight="false" outlineLevel="0" collapsed="false">
      <c r="A345" s="38" t="s">
        <v>2114</v>
      </c>
      <c r="B345" s="8" t="s">
        <v>2115</v>
      </c>
      <c r="C345" s="39" t="n">
        <v>120000</v>
      </c>
      <c r="D345" s="40" t="n">
        <v>46316</v>
      </c>
      <c r="E345" s="8" t="n">
        <v>66</v>
      </c>
      <c r="F345" s="39" t="n">
        <v>1652</v>
      </c>
      <c r="G345" s="39" t="n">
        <v>71</v>
      </c>
      <c r="H345" s="39" t="n">
        <v>1</v>
      </c>
      <c r="I345" s="39" t="n">
        <v>2</v>
      </c>
      <c r="J345" s="39" t="n">
        <v>2</v>
      </c>
      <c r="K345" s="8" t="s">
        <v>1240</v>
      </c>
      <c r="L345" s="41" t="s">
        <v>2116</v>
      </c>
      <c r="M345" s="42" t="n">
        <f aca="false">IFERROR(I345/F345,0)</f>
        <v>0.00121065375302663</v>
      </c>
      <c r="N345" s="42" t="n">
        <f aca="false">IFERROR(J345/F345,0)</f>
        <v>0.00121065375302663</v>
      </c>
      <c r="O345" s="8" t="n">
        <v>0</v>
      </c>
      <c r="P345" s="8" t="n">
        <v>0</v>
      </c>
      <c r="Q345" s="8" t="n">
        <v>0</v>
      </c>
      <c r="R345" s="8" t="n">
        <v>0</v>
      </c>
      <c r="S345" s="8" t="n">
        <v>0</v>
      </c>
      <c r="T345" s="8" t="n">
        <v>0</v>
      </c>
      <c r="U345" s="8" t="n">
        <v>0</v>
      </c>
      <c r="V345" s="8" t="n">
        <v>0</v>
      </c>
      <c r="W345" s="8" t="n">
        <v>1</v>
      </c>
      <c r="X345" s="8" t="n">
        <v>1</v>
      </c>
      <c r="Y345" s="8" t="n">
        <v>0</v>
      </c>
      <c r="Z345" s="8" t="n">
        <v>0</v>
      </c>
      <c r="AA345" s="8" t="n">
        <v>0</v>
      </c>
      <c r="AB345" s="8" t="n">
        <v>0</v>
      </c>
      <c r="AC345" s="8" t="n">
        <v>0</v>
      </c>
      <c r="AD345" s="8" t="n">
        <v>0</v>
      </c>
    </row>
    <row r="346" customFormat="false" ht="15" hidden="false" customHeight="false" outlineLevel="0" collapsed="false">
      <c r="A346" s="38" t="s">
        <v>2117</v>
      </c>
      <c r="B346" s="8" t="s">
        <v>2118</v>
      </c>
      <c r="C346" s="39" t="n">
        <v>4609</v>
      </c>
      <c r="D346" s="40" t="n">
        <v>46131</v>
      </c>
      <c r="E346" s="8" t="n">
        <v>30</v>
      </c>
      <c r="F346" s="39" t="n">
        <v>1646</v>
      </c>
      <c r="G346" s="39" t="n">
        <v>32</v>
      </c>
      <c r="H346" s="39" t="n">
        <v>3</v>
      </c>
      <c r="I346" s="39" t="n">
        <v>1</v>
      </c>
      <c r="J346" s="39" t="n">
        <v>2</v>
      </c>
      <c r="K346" s="8" t="s">
        <v>1243</v>
      </c>
      <c r="L346" s="41" t="s">
        <v>2119</v>
      </c>
      <c r="M346" s="42" t="n">
        <f aca="false">IFERROR(I346/F346,0)</f>
        <v>0.000607533414337789</v>
      </c>
      <c r="N346" s="42" t="n">
        <f aca="false">IFERROR(J346/F346,0)</f>
        <v>0.00121506682867558</v>
      </c>
      <c r="O346" s="8" t="n">
        <v>1</v>
      </c>
      <c r="P346" s="8" t="n">
        <v>0</v>
      </c>
      <c r="Q346" s="8" t="n">
        <v>0</v>
      </c>
      <c r="R346" s="8" t="n">
        <v>0</v>
      </c>
      <c r="S346" s="8" t="n">
        <v>0</v>
      </c>
      <c r="T346" s="8" t="n">
        <v>0</v>
      </c>
      <c r="U346" s="8" t="n">
        <v>0</v>
      </c>
      <c r="V346" s="8" t="n">
        <v>0</v>
      </c>
      <c r="W346" s="8" t="n">
        <v>0</v>
      </c>
      <c r="X346" s="8" t="n">
        <v>0</v>
      </c>
      <c r="Y346" s="8" t="n">
        <v>0</v>
      </c>
      <c r="Z346" s="8" t="n">
        <v>0</v>
      </c>
      <c r="AA346" s="8" t="n">
        <v>0</v>
      </c>
      <c r="AB346" s="8" t="n">
        <v>0</v>
      </c>
      <c r="AC346" s="8" t="n">
        <v>0</v>
      </c>
      <c r="AD346" s="8" t="n">
        <v>0</v>
      </c>
    </row>
    <row r="347" customFormat="false" ht="15" hidden="false" customHeight="false" outlineLevel="0" collapsed="false">
      <c r="A347" s="38" t="s">
        <v>2120</v>
      </c>
      <c r="B347" s="8" t="s">
        <v>1905</v>
      </c>
      <c r="C347" s="39" t="n">
        <v>3787</v>
      </c>
      <c r="D347" s="40" t="n">
        <v>46145</v>
      </c>
      <c r="E347" s="8" t="n">
        <v>25</v>
      </c>
      <c r="F347" s="39" t="n">
        <v>1632</v>
      </c>
      <c r="G347" s="39" t="n">
        <v>31</v>
      </c>
      <c r="H347" s="39" t="n">
        <v>0</v>
      </c>
      <c r="I347" s="39" t="n">
        <v>0</v>
      </c>
      <c r="J347" s="39" t="n">
        <v>2</v>
      </c>
      <c r="K347" s="8" t="s">
        <v>1240</v>
      </c>
      <c r="L347" s="41" t="s">
        <v>2121</v>
      </c>
      <c r="M347" s="42" t="n">
        <f aca="false">IFERROR(I347/F347,0)</f>
        <v>0</v>
      </c>
      <c r="N347" s="42" t="n">
        <f aca="false">IFERROR(J347/F347,0)</f>
        <v>0.00122549019607843</v>
      </c>
      <c r="O347" s="8" t="n">
        <v>0</v>
      </c>
      <c r="P347" s="8" t="n">
        <v>0</v>
      </c>
      <c r="Q347" s="8" t="n">
        <v>0</v>
      </c>
      <c r="R347" s="8" t="n">
        <v>0</v>
      </c>
      <c r="S347" s="8" t="n">
        <v>0</v>
      </c>
      <c r="T347" s="8" t="n">
        <v>1</v>
      </c>
      <c r="U347" s="8" t="n">
        <v>0</v>
      </c>
      <c r="V347" s="8" t="n">
        <v>0</v>
      </c>
      <c r="W347" s="8" t="n">
        <v>0</v>
      </c>
      <c r="X347" s="8" t="n">
        <v>0</v>
      </c>
      <c r="Y347" s="8" t="n">
        <v>0</v>
      </c>
      <c r="Z347" s="8" t="n">
        <v>0</v>
      </c>
      <c r="AA347" s="8" t="n">
        <v>0</v>
      </c>
      <c r="AB347" s="8" t="n">
        <v>0</v>
      </c>
      <c r="AC347" s="8" t="n">
        <v>0</v>
      </c>
      <c r="AD347" s="8" t="n">
        <v>0</v>
      </c>
    </row>
    <row r="348" customFormat="false" ht="15" hidden="false" customHeight="false" outlineLevel="0" collapsed="false">
      <c r="A348" s="38" t="s">
        <v>2122</v>
      </c>
      <c r="B348" s="8" t="s">
        <v>2123</v>
      </c>
      <c r="C348" s="39" t="n">
        <v>226</v>
      </c>
      <c r="D348" s="40" t="n">
        <v>46115</v>
      </c>
      <c r="E348" s="8" t="n">
        <v>56</v>
      </c>
      <c r="F348" s="39" t="n">
        <v>1624</v>
      </c>
      <c r="G348" s="39" t="n">
        <v>28</v>
      </c>
      <c r="H348" s="39" t="n">
        <v>2</v>
      </c>
      <c r="I348" s="39" t="n">
        <v>21</v>
      </c>
      <c r="J348" s="39" t="n">
        <v>16</v>
      </c>
      <c r="K348" s="8" t="s">
        <v>1243</v>
      </c>
      <c r="L348" s="41" t="s">
        <v>2124</v>
      </c>
      <c r="M348" s="42" t="n">
        <f aca="false">IFERROR(I348/F348,0)</f>
        <v>0.0129310344827586</v>
      </c>
      <c r="N348" s="42" t="n">
        <f aca="false">IFERROR(J348/F348,0)</f>
        <v>0.00985221674876847</v>
      </c>
      <c r="O348" s="8" t="n">
        <v>0</v>
      </c>
      <c r="P348" s="8" t="n">
        <v>0</v>
      </c>
      <c r="Q348" s="8" t="n">
        <v>0</v>
      </c>
      <c r="R348" s="8" t="n">
        <v>0</v>
      </c>
      <c r="S348" s="8" t="n">
        <v>0</v>
      </c>
      <c r="T348" s="8" t="n">
        <v>0</v>
      </c>
      <c r="U348" s="8" t="n">
        <v>0</v>
      </c>
      <c r="V348" s="8" t="n">
        <v>0</v>
      </c>
      <c r="W348" s="8" t="n">
        <v>0</v>
      </c>
      <c r="X348" s="8" t="n">
        <v>0</v>
      </c>
      <c r="Y348" s="8" t="n">
        <v>0</v>
      </c>
      <c r="Z348" s="8" t="n">
        <v>0</v>
      </c>
      <c r="AA348" s="8" t="n">
        <v>0</v>
      </c>
      <c r="AB348" s="8" t="n">
        <v>0</v>
      </c>
      <c r="AC348" s="8" t="n">
        <v>1</v>
      </c>
      <c r="AD348" s="8" t="n">
        <v>0</v>
      </c>
    </row>
    <row r="349" customFormat="false" ht="15" hidden="false" customHeight="false" outlineLevel="0" collapsed="false">
      <c r="A349" s="38" t="s">
        <v>2125</v>
      </c>
      <c r="B349" s="8" t="s">
        <v>2126</v>
      </c>
      <c r="C349" s="39" t="n">
        <v>129</v>
      </c>
      <c r="D349" s="40" t="n">
        <v>46122</v>
      </c>
      <c r="E349" s="8" t="n">
        <v>25</v>
      </c>
      <c r="F349" s="39" t="n">
        <v>1618</v>
      </c>
      <c r="G349" s="39" t="n">
        <v>30</v>
      </c>
      <c r="H349" s="39" t="n">
        <v>0</v>
      </c>
      <c r="I349" s="39" t="n">
        <v>1</v>
      </c>
      <c r="J349" s="39" t="n">
        <v>5</v>
      </c>
      <c r="K349" s="8" t="s">
        <v>1240</v>
      </c>
      <c r="L349" s="41" t="s">
        <v>2127</v>
      </c>
      <c r="M349" s="42" t="n">
        <f aca="false">IFERROR(I349/F349,0)</f>
        <v>0.000618046971569839</v>
      </c>
      <c r="N349" s="42" t="n">
        <f aca="false">IFERROR(J349/F349,0)</f>
        <v>0.0030902348578492</v>
      </c>
      <c r="O349" s="8" t="n">
        <v>0</v>
      </c>
      <c r="P349" s="8" t="n">
        <v>0</v>
      </c>
      <c r="Q349" s="8" t="n">
        <v>1</v>
      </c>
      <c r="R349" s="8" t="n">
        <v>0</v>
      </c>
      <c r="S349" s="8" t="n">
        <v>0</v>
      </c>
      <c r="T349" s="8" t="n">
        <v>1</v>
      </c>
      <c r="U349" s="8" t="n">
        <v>0</v>
      </c>
      <c r="V349" s="8" t="n">
        <v>0</v>
      </c>
      <c r="W349" s="8" t="n">
        <v>0</v>
      </c>
      <c r="X349" s="8" t="n">
        <v>0</v>
      </c>
      <c r="Y349" s="8" t="n">
        <v>0</v>
      </c>
      <c r="Z349" s="8" t="n">
        <v>0</v>
      </c>
      <c r="AA349" s="8" t="n">
        <v>0</v>
      </c>
      <c r="AB349" s="8" t="n">
        <v>0</v>
      </c>
      <c r="AC349" s="8" t="n">
        <v>0</v>
      </c>
      <c r="AD349" s="8" t="n">
        <v>0</v>
      </c>
    </row>
    <row r="350" customFormat="false" ht="15" hidden="false" customHeight="false" outlineLevel="0" collapsed="false">
      <c r="A350" s="38" t="s">
        <v>2128</v>
      </c>
      <c r="B350" s="8" t="s">
        <v>1799</v>
      </c>
      <c r="C350" s="39" t="n">
        <v>12500</v>
      </c>
      <c r="D350" s="40" t="n">
        <v>46190</v>
      </c>
      <c r="E350" s="8" t="n">
        <v>90</v>
      </c>
      <c r="F350" s="39" t="n">
        <v>1608</v>
      </c>
      <c r="G350" s="39" t="n">
        <v>80</v>
      </c>
      <c r="H350" s="39" t="n">
        <v>16</v>
      </c>
      <c r="I350" s="39" t="n">
        <v>11</v>
      </c>
      <c r="J350" s="39" t="n">
        <v>9</v>
      </c>
      <c r="K350" s="8" t="s">
        <v>1240</v>
      </c>
      <c r="L350" s="41" t="s">
        <v>2129</v>
      </c>
      <c r="M350" s="42" t="n">
        <f aca="false">IFERROR(I350/F350,0)</f>
        <v>0.0068407960199005</v>
      </c>
      <c r="N350" s="42" t="n">
        <f aca="false">IFERROR(J350/F350,0)</f>
        <v>0.00559701492537313</v>
      </c>
      <c r="O350" s="8" t="n">
        <v>0</v>
      </c>
      <c r="P350" s="8" t="n">
        <v>0</v>
      </c>
      <c r="Q350" s="8" t="n">
        <v>0</v>
      </c>
      <c r="R350" s="8" t="n">
        <v>0</v>
      </c>
      <c r="S350" s="8" t="n">
        <v>0</v>
      </c>
      <c r="T350" s="8" t="n">
        <v>0</v>
      </c>
      <c r="U350" s="8" t="n">
        <v>0</v>
      </c>
      <c r="V350" s="8" t="n">
        <v>0</v>
      </c>
      <c r="W350" s="8" t="n">
        <v>1</v>
      </c>
      <c r="X350" s="8" t="n">
        <v>0</v>
      </c>
      <c r="Y350" s="8" t="n">
        <v>0</v>
      </c>
      <c r="Z350" s="8" t="n">
        <v>0</v>
      </c>
      <c r="AA350" s="8" t="n">
        <v>0</v>
      </c>
      <c r="AB350" s="8" t="n">
        <v>0</v>
      </c>
      <c r="AC350" s="8" t="n">
        <v>0</v>
      </c>
      <c r="AD350" s="8" t="n">
        <v>0</v>
      </c>
    </row>
    <row r="351" customFormat="false" ht="15" hidden="false" customHeight="false" outlineLevel="0" collapsed="false">
      <c r="A351" s="38" t="s">
        <v>2130</v>
      </c>
      <c r="B351" s="8" t="s">
        <v>1899</v>
      </c>
      <c r="C351" s="39" t="n">
        <v>257</v>
      </c>
      <c r="D351" s="40" t="n">
        <v>45012</v>
      </c>
      <c r="E351" s="8" t="n">
        <v>40</v>
      </c>
      <c r="F351" s="39" t="n">
        <v>1507</v>
      </c>
      <c r="G351" s="39" t="n">
        <v>28</v>
      </c>
      <c r="H351" s="39" t="n">
        <v>1</v>
      </c>
      <c r="I351" s="39" t="n">
        <v>3</v>
      </c>
      <c r="J351" s="39" t="n">
        <v>6</v>
      </c>
      <c r="K351" s="8" t="s">
        <v>1243</v>
      </c>
      <c r="L351" s="41" t="s">
        <v>2131</v>
      </c>
      <c r="M351" s="42" t="n">
        <f aca="false">IFERROR(I351/F351,0)</f>
        <v>0.0019907100199071</v>
      </c>
      <c r="N351" s="42" t="n">
        <f aca="false">IFERROR(J351/F351,0)</f>
        <v>0.0039814200398142</v>
      </c>
      <c r="O351" s="8" t="n">
        <v>0</v>
      </c>
      <c r="P351" s="8" t="n">
        <v>0</v>
      </c>
      <c r="Q351" s="8" t="n">
        <v>1</v>
      </c>
      <c r="R351" s="8" t="n">
        <v>1</v>
      </c>
      <c r="S351" s="8" t="n">
        <v>0</v>
      </c>
      <c r="T351" s="8" t="n">
        <v>0</v>
      </c>
      <c r="U351" s="8" t="n">
        <v>0</v>
      </c>
      <c r="V351" s="8" t="n">
        <v>0</v>
      </c>
      <c r="W351" s="8" t="n">
        <v>0</v>
      </c>
      <c r="X351" s="8" t="n">
        <v>0</v>
      </c>
      <c r="Y351" s="8" t="n">
        <v>0</v>
      </c>
      <c r="Z351" s="8" t="n">
        <v>0</v>
      </c>
      <c r="AA351" s="8" t="n">
        <v>0</v>
      </c>
      <c r="AB351" s="8" t="n">
        <v>0</v>
      </c>
      <c r="AC351" s="8" t="n">
        <v>0</v>
      </c>
      <c r="AD351" s="8" t="n">
        <v>0</v>
      </c>
    </row>
    <row r="352" customFormat="false" ht="15" hidden="false" customHeight="false" outlineLevel="0" collapsed="false">
      <c r="A352" s="38" t="s">
        <v>2132</v>
      </c>
      <c r="B352" s="8" t="s">
        <v>1330</v>
      </c>
      <c r="C352" s="39" t="n">
        <v>547900</v>
      </c>
      <c r="D352" s="40" t="n">
        <v>46314</v>
      </c>
      <c r="E352" s="8" t="n">
        <v>34</v>
      </c>
      <c r="F352" s="39" t="n">
        <v>1503</v>
      </c>
      <c r="G352" s="39" t="n">
        <v>105</v>
      </c>
      <c r="H352" s="39" t="n">
        <v>5</v>
      </c>
      <c r="I352" s="39" t="n">
        <v>0</v>
      </c>
      <c r="J352" s="39" t="n">
        <v>11</v>
      </c>
      <c r="K352" s="8" t="s">
        <v>1240</v>
      </c>
      <c r="L352" s="41" t="s">
        <v>2133</v>
      </c>
      <c r="M352" s="42" t="n">
        <f aca="false">IFERROR(I352/F352,0)</f>
        <v>0</v>
      </c>
      <c r="N352" s="42" t="n">
        <f aca="false">IFERROR(J352/F352,0)</f>
        <v>0.00731869594145043</v>
      </c>
      <c r="O352" s="8" t="n">
        <v>0</v>
      </c>
      <c r="P352" s="8" t="n">
        <v>0</v>
      </c>
      <c r="Q352" s="8" t="n">
        <v>0</v>
      </c>
      <c r="R352" s="8" t="n">
        <v>0</v>
      </c>
      <c r="S352" s="8" t="n">
        <v>0</v>
      </c>
      <c r="T352" s="8" t="n">
        <v>0</v>
      </c>
      <c r="U352" s="8" t="n">
        <v>0</v>
      </c>
      <c r="V352" s="8" t="n">
        <v>0</v>
      </c>
      <c r="W352" s="8" t="n">
        <v>0</v>
      </c>
      <c r="X352" s="8" t="n">
        <v>0</v>
      </c>
      <c r="Y352" s="8" t="n">
        <v>0</v>
      </c>
      <c r="Z352" s="8" t="n">
        <v>0</v>
      </c>
      <c r="AA352" s="8" t="n">
        <v>0</v>
      </c>
      <c r="AB352" s="8" t="n">
        <v>0</v>
      </c>
      <c r="AC352" s="8" t="n">
        <v>0</v>
      </c>
      <c r="AD352" s="8" t="n">
        <v>0</v>
      </c>
    </row>
    <row r="353" customFormat="false" ht="15" hidden="false" customHeight="false" outlineLevel="0" collapsed="false">
      <c r="A353" s="38" t="s">
        <v>2134</v>
      </c>
      <c r="B353" s="8" t="s">
        <v>2135</v>
      </c>
      <c r="C353" s="39" t="n">
        <v>89</v>
      </c>
      <c r="D353" s="40" t="n">
        <v>46201</v>
      </c>
      <c r="E353" s="8" t="n">
        <v>22</v>
      </c>
      <c r="F353" s="39" t="n">
        <v>1501</v>
      </c>
      <c r="G353" s="39" t="n">
        <v>17</v>
      </c>
      <c r="H353" s="39" t="n">
        <v>3</v>
      </c>
      <c r="I353" s="39" t="n">
        <v>3</v>
      </c>
      <c r="J353" s="39" t="n">
        <v>10</v>
      </c>
      <c r="K353" s="8" t="s">
        <v>1240</v>
      </c>
      <c r="L353" s="41" t="s">
        <v>2136</v>
      </c>
      <c r="M353" s="42" t="n">
        <f aca="false">IFERROR(I353/F353,0)</f>
        <v>0.00199866755496336</v>
      </c>
      <c r="N353" s="42" t="n">
        <f aca="false">IFERROR(J353/F353,0)</f>
        <v>0.00666222518321119</v>
      </c>
      <c r="O353" s="8" t="n">
        <v>1</v>
      </c>
      <c r="P353" s="8" t="n">
        <v>0</v>
      </c>
      <c r="Q353" s="8" t="n">
        <v>0</v>
      </c>
      <c r="R353" s="8" t="n">
        <v>0</v>
      </c>
      <c r="S353" s="8" t="n">
        <v>0</v>
      </c>
      <c r="T353" s="8" t="n">
        <v>0</v>
      </c>
      <c r="U353" s="8" t="n">
        <v>0</v>
      </c>
      <c r="V353" s="8" t="n">
        <v>1</v>
      </c>
      <c r="W353" s="8" t="n">
        <v>0</v>
      </c>
      <c r="X353" s="8" t="n">
        <v>0</v>
      </c>
      <c r="Y353" s="8" t="n">
        <v>0</v>
      </c>
      <c r="Z353" s="8" t="n">
        <v>0</v>
      </c>
      <c r="AA353" s="8" t="n">
        <v>0</v>
      </c>
      <c r="AB353" s="8" t="n">
        <v>0</v>
      </c>
      <c r="AC353" s="8" t="n">
        <v>0</v>
      </c>
      <c r="AD353" s="8" t="n">
        <v>0</v>
      </c>
    </row>
    <row r="354" customFormat="false" ht="15" hidden="false" customHeight="false" outlineLevel="0" collapsed="false">
      <c r="A354" s="38" t="s">
        <v>2137</v>
      </c>
      <c r="B354" s="8" t="s">
        <v>2138</v>
      </c>
      <c r="C354" s="39" t="n">
        <v>217</v>
      </c>
      <c r="D354" s="40" t="n">
        <v>46129</v>
      </c>
      <c r="E354" s="8" t="n">
        <v>38</v>
      </c>
      <c r="F354" s="39" t="n">
        <v>1498</v>
      </c>
      <c r="G354" s="39" t="n">
        <v>34</v>
      </c>
      <c r="H354" s="39" t="n">
        <v>4</v>
      </c>
      <c r="I354" s="39" t="n">
        <v>2</v>
      </c>
      <c r="J354" s="39" t="n">
        <v>3</v>
      </c>
      <c r="K354" s="8" t="s">
        <v>1243</v>
      </c>
      <c r="L354" s="41" t="s">
        <v>2139</v>
      </c>
      <c r="M354" s="42" t="n">
        <f aca="false">IFERROR(I354/F354,0)</f>
        <v>0.00133511348464619</v>
      </c>
      <c r="N354" s="42" t="n">
        <f aca="false">IFERROR(J354/F354,0)</f>
        <v>0.00200267022696929</v>
      </c>
      <c r="O354" s="8" t="n">
        <v>1</v>
      </c>
      <c r="P354" s="8" t="n">
        <v>0</v>
      </c>
      <c r="Q354" s="8" t="n">
        <v>0</v>
      </c>
      <c r="R354" s="8" t="n">
        <v>0</v>
      </c>
      <c r="S354" s="8" t="n">
        <v>0</v>
      </c>
      <c r="T354" s="8" t="n">
        <v>0</v>
      </c>
      <c r="U354" s="8" t="n">
        <v>0</v>
      </c>
      <c r="V354" s="8" t="n">
        <v>0</v>
      </c>
      <c r="W354" s="8" t="n">
        <v>0</v>
      </c>
      <c r="X354" s="8" t="n">
        <v>0</v>
      </c>
      <c r="Y354" s="8" t="n">
        <v>0</v>
      </c>
      <c r="Z354" s="8" t="n">
        <v>0</v>
      </c>
      <c r="AA354" s="8" t="n">
        <v>0</v>
      </c>
      <c r="AB354" s="8" t="n">
        <v>1</v>
      </c>
      <c r="AC354" s="8" t="n">
        <v>0</v>
      </c>
      <c r="AD354" s="8" t="n">
        <v>0</v>
      </c>
    </row>
    <row r="355" customFormat="false" ht="15" hidden="false" customHeight="false" outlineLevel="0" collapsed="false">
      <c r="A355" s="38" t="s">
        <v>2140</v>
      </c>
      <c r="B355" s="8" t="s">
        <v>2141</v>
      </c>
      <c r="C355" s="39" t="n">
        <v>1365</v>
      </c>
      <c r="D355" s="40" t="n">
        <v>46174</v>
      </c>
      <c r="E355" s="8" t="n">
        <v>23</v>
      </c>
      <c r="F355" s="39" t="n">
        <v>1476</v>
      </c>
      <c r="G355" s="39" t="n">
        <v>47</v>
      </c>
      <c r="H355" s="39" t="n">
        <v>4</v>
      </c>
      <c r="I355" s="39" t="n">
        <v>7</v>
      </c>
      <c r="J355" s="39" t="n">
        <v>14</v>
      </c>
      <c r="K355" s="8" t="s">
        <v>1240</v>
      </c>
      <c r="L355" s="41" t="s">
        <v>2142</v>
      </c>
      <c r="M355" s="42" t="n">
        <f aca="false">IFERROR(I355/F355,0)</f>
        <v>0.00474254742547425</v>
      </c>
      <c r="N355" s="42" t="n">
        <f aca="false">IFERROR(J355/F355,0)</f>
        <v>0.00948509485094851</v>
      </c>
      <c r="O355" s="8" t="n">
        <v>0</v>
      </c>
      <c r="P355" s="8" t="n">
        <v>0</v>
      </c>
      <c r="Q355" s="8" t="n">
        <v>0</v>
      </c>
      <c r="R355" s="8" t="n">
        <v>0</v>
      </c>
      <c r="S355" s="8" t="n">
        <v>0</v>
      </c>
      <c r="T355" s="8" t="n">
        <v>0</v>
      </c>
      <c r="U355" s="8" t="n">
        <v>0</v>
      </c>
      <c r="V355" s="8" t="n">
        <v>1</v>
      </c>
      <c r="W355" s="8" t="n">
        <v>0</v>
      </c>
      <c r="X355" s="8" t="n">
        <v>0</v>
      </c>
      <c r="Y355" s="8" t="n">
        <v>0</v>
      </c>
      <c r="Z355" s="8" t="n">
        <v>0</v>
      </c>
      <c r="AA355" s="8" t="n">
        <v>0</v>
      </c>
      <c r="AB355" s="8" t="n">
        <v>0</v>
      </c>
      <c r="AC355" s="8" t="n">
        <v>1</v>
      </c>
      <c r="AD355" s="8" t="n">
        <v>0</v>
      </c>
    </row>
    <row r="356" customFormat="false" ht="15" hidden="false" customHeight="false" outlineLevel="0" collapsed="false">
      <c r="A356" s="38" t="s">
        <v>2143</v>
      </c>
      <c r="B356" s="8" t="s">
        <v>2144</v>
      </c>
      <c r="C356" s="39" t="n">
        <v>55100</v>
      </c>
      <c r="D356" s="40" t="n">
        <v>46316</v>
      </c>
      <c r="E356" s="8" t="n">
        <v>48</v>
      </c>
      <c r="F356" s="39" t="n">
        <v>1468</v>
      </c>
      <c r="G356" s="39" t="n">
        <v>41</v>
      </c>
      <c r="H356" s="39" t="n">
        <v>0</v>
      </c>
      <c r="I356" s="39" t="n">
        <v>2</v>
      </c>
      <c r="J356" s="39" t="n">
        <v>8</v>
      </c>
      <c r="K356" s="8" t="s">
        <v>1240</v>
      </c>
      <c r="L356" s="41" t="s">
        <v>2145</v>
      </c>
      <c r="M356" s="42" t="n">
        <f aca="false">IFERROR(I356/F356,0)</f>
        <v>0.00136239782016349</v>
      </c>
      <c r="N356" s="42" t="n">
        <f aca="false">IFERROR(J356/F356,0)</f>
        <v>0.00544959128065395</v>
      </c>
      <c r="O356" s="8" t="n">
        <v>0</v>
      </c>
      <c r="P356" s="8" t="n">
        <v>0</v>
      </c>
      <c r="Q356" s="8" t="n">
        <v>0</v>
      </c>
      <c r="R356" s="8" t="n">
        <v>1</v>
      </c>
      <c r="S356" s="8" t="n">
        <v>0</v>
      </c>
      <c r="T356" s="8" t="n">
        <v>0</v>
      </c>
      <c r="U356" s="8" t="n">
        <v>0</v>
      </c>
      <c r="V356" s="8" t="n">
        <v>0</v>
      </c>
      <c r="W356" s="8" t="n">
        <v>0</v>
      </c>
      <c r="X356" s="8" t="n">
        <v>0</v>
      </c>
      <c r="Y356" s="8" t="n">
        <v>0</v>
      </c>
      <c r="Z356" s="8" t="n">
        <v>0</v>
      </c>
      <c r="AA356" s="8" t="n">
        <v>0</v>
      </c>
      <c r="AB356" s="8" t="n">
        <v>0</v>
      </c>
      <c r="AC356" s="8" t="n">
        <v>0</v>
      </c>
      <c r="AD356" s="8" t="n">
        <v>0</v>
      </c>
    </row>
    <row r="357" customFormat="false" ht="15" hidden="false" customHeight="false" outlineLevel="0" collapsed="false">
      <c r="A357" s="38" t="s">
        <v>2146</v>
      </c>
      <c r="B357" s="8" t="s">
        <v>2147</v>
      </c>
      <c r="C357" s="39" t="n">
        <v>2151</v>
      </c>
      <c r="D357" s="40" t="n">
        <v>46164</v>
      </c>
      <c r="E357" s="8" t="n">
        <v>19</v>
      </c>
      <c r="F357" s="39" t="n">
        <v>1455</v>
      </c>
      <c r="G357" s="39" t="n">
        <v>15</v>
      </c>
      <c r="H357" s="39" t="n">
        <v>3</v>
      </c>
      <c r="I357" s="39" t="n">
        <v>5</v>
      </c>
      <c r="J357" s="39" t="n">
        <v>4</v>
      </c>
      <c r="K357" s="8" t="s">
        <v>1240</v>
      </c>
      <c r="L357" s="41" t="s">
        <v>2148</v>
      </c>
      <c r="M357" s="42" t="n">
        <f aca="false">IFERROR(I357/F357,0)</f>
        <v>0.00343642611683849</v>
      </c>
      <c r="N357" s="42" t="n">
        <f aca="false">IFERROR(J357/F357,0)</f>
        <v>0.00274914089347079</v>
      </c>
      <c r="O357" s="8" t="n">
        <v>0</v>
      </c>
      <c r="P357" s="8" t="n">
        <v>0</v>
      </c>
      <c r="Q357" s="8" t="n">
        <v>0</v>
      </c>
      <c r="R357" s="8" t="n">
        <v>0</v>
      </c>
      <c r="S357" s="8" t="n">
        <v>0</v>
      </c>
      <c r="T357" s="8" t="n">
        <v>1</v>
      </c>
      <c r="U357" s="8" t="n">
        <v>0</v>
      </c>
      <c r="V357" s="8" t="n">
        <v>0</v>
      </c>
      <c r="W357" s="8" t="n">
        <v>0</v>
      </c>
      <c r="X357" s="8" t="n">
        <v>1</v>
      </c>
      <c r="Y357" s="8" t="n">
        <v>0</v>
      </c>
      <c r="Z357" s="8" t="n">
        <v>0</v>
      </c>
      <c r="AA357" s="8" t="n">
        <v>0</v>
      </c>
      <c r="AB357" s="8" t="n">
        <v>0</v>
      </c>
      <c r="AC357" s="8" t="n">
        <v>0</v>
      </c>
      <c r="AD357" s="8" t="n">
        <v>0</v>
      </c>
    </row>
    <row r="358" customFormat="false" ht="15" hidden="false" customHeight="false" outlineLevel="0" collapsed="false">
      <c r="A358" s="38" t="s">
        <v>2149</v>
      </c>
      <c r="B358" s="8" t="s">
        <v>2150</v>
      </c>
      <c r="C358" s="39" t="n">
        <v>41</v>
      </c>
      <c r="D358" s="40" t="n">
        <v>46262</v>
      </c>
      <c r="E358" s="8" t="n">
        <v>15</v>
      </c>
      <c r="F358" s="39" t="n">
        <v>1438</v>
      </c>
      <c r="G358" s="39" t="n">
        <v>4</v>
      </c>
      <c r="H358" s="39" t="n">
        <v>2</v>
      </c>
      <c r="I358" s="39" t="n">
        <v>4</v>
      </c>
      <c r="J358" s="39" t="n">
        <v>5</v>
      </c>
      <c r="K358" s="8" t="s">
        <v>1240</v>
      </c>
      <c r="L358" s="41" t="s">
        <v>2151</v>
      </c>
      <c r="M358" s="42" t="n">
        <f aca="false">IFERROR(I358/F358,0)</f>
        <v>0.00278164116828929</v>
      </c>
      <c r="N358" s="42" t="n">
        <f aca="false">IFERROR(J358/F358,0)</f>
        <v>0.00347705146036161</v>
      </c>
      <c r="O358" s="8" t="n">
        <v>0</v>
      </c>
      <c r="P358" s="8" t="n">
        <v>0</v>
      </c>
      <c r="Q358" s="8" t="n">
        <v>0</v>
      </c>
      <c r="R358" s="8" t="n">
        <v>0</v>
      </c>
      <c r="S358" s="8" t="n">
        <v>0</v>
      </c>
      <c r="T358" s="8" t="n">
        <v>1</v>
      </c>
      <c r="U358" s="8" t="n">
        <v>0</v>
      </c>
      <c r="V358" s="8" t="n">
        <v>0</v>
      </c>
      <c r="W358" s="8" t="n">
        <v>1</v>
      </c>
      <c r="X358" s="8" t="n">
        <v>1</v>
      </c>
      <c r="Y358" s="8" t="n">
        <v>0</v>
      </c>
      <c r="Z358" s="8" t="n">
        <v>0</v>
      </c>
      <c r="AA358" s="8" t="n">
        <v>0</v>
      </c>
      <c r="AB358" s="8" t="n">
        <v>0</v>
      </c>
      <c r="AC358" s="8" t="n">
        <v>0</v>
      </c>
      <c r="AD358" s="8" t="n">
        <v>0</v>
      </c>
    </row>
    <row r="359" customFormat="false" ht="15" hidden="false" customHeight="false" outlineLevel="0" collapsed="false">
      <c r="A359" s="38" t="s">
        <v>2152</v>
      </c>
      <c r="B359" s="8" t="s">
        <v>2153</v>
      </c>
      <c r="C359" s="39" t="n">
        <v>7414</v>
      </c>
      <c r="D359" s="40" t="n">
        <v>46289</v>
      </c>
      <c r="E359" s="8" t="n">
        <v>28</v>
      </c>
      <c r="F359" s="39" t="n">
        <v>1411</v>
      </c>
      <c r="G359" s="39" t="n">
        <v>89</v>
      </c>
      <c r="H359" s="39" t="n">
        <v>5</v>
      </c>
      <c r="I359" s="39" t="n">
        <v>2</v>
      </c>
      <c r="J359" s="39" t="n">
        <v>3</v>
      </c>
      <c r="K359" s="8" t="s">
        <v>1240</v>
      </c>
      <c r="L359" s="41" t="s">
        <v>2154</v>
      </c>
      <c r="M359" s="42" t="n">
        <f aca="false">IFERROR(I359/F359,0)</f>
        <v>0.00141743444365698</v>
      </c>
      <c r="N359" s="42" t="n">
        <f aca="false">IFERROR(J359/F359,0)</f>
        <v>0.00212615166548547</v>
      </c>
      <c r="O359" s="8" t="n">
        <v>0</v>
      </c>
      <c r="P359" s="8" t="n">
        <v>0</v>
      </c>
      <c r="Q359" s="8" t="n">
        <v>0</v>
      </c>
      <c r="R359" s="8" t="n">
        <v>1</v>
      </c>
      <c r="S359" s="8" t="n">
        <v>0</v>
      </c>
      <c r="T359" s="8" t="n">
        <v>0</v>
      </c>
      <c r="U359" s="8" t="n">
        <v>0</v>
      </c>
      <c r="V359" s="8" t="n">
        <v>0</v>
      </c>
      <c r="W359" s="8" t="n">
        <v>0</v>
      </c>
      <c r="X359" s="8" t="n">
        <v>0</v>
      </c>
      <c r="Y359" s="8" t="n">
        <v>0</v>
      </c>
      <c r="Z359" s="8" t="n">
        <v>0</v>
      </c>
      <c r="AA359" s="8" t="n">
        <v>0</v>
      </c>
      <c r="AB359" s="8" t="n">
        <v>0</v>
      </c>
      <c r="AC359" s="8" t="n">
        <v>0</v>
      </c>
      <c r="AD359" s="8" t="n">
        <v>0</v>
      </c>
    </row>
    <row r="360" customFormat="false" ht="15" hidden="false" customHeight="false" outlineLevel="0" collapsed="false">
      <c r="A360" s="38" t="s">
        <v>2155</v>
      </c>
      <c r="B360" s="8" t="s">
        <v>1637</v>
      </c>
      <c r="C360" s="39" t="n">
        <v>20400</v>
      </c>
      <c r="D360" s="40" t="n">
        <v>46143</v>
      </c>
      <c r="E360" s="8" t="n">
        <v>28</v>
      </c>
      <c r="F360" s="39" t="n">
        <v>1400</v>
      </c>
      <c r="G360" s="39" t="n">
        <v>71</v>
      </c>
      <c r="H360" s="39" t="n">
        <v>2</v>
      </c>
      <c r="I360" s="39" t="n">
        <v>1</v>
      </c>
      <c r="J360" s="39" t="n">
        <v>4</v>
      </c>
      <c r="K360" s="8" t="s">
        <v>1240</v>
      </c>
      <c r="L360" s="41" t="s">
        <v>2156</v>
      </c>
      <c r="M360" s="42" t="n">
        <f aca="false">IFERROR(I360/F360,0)</f>
        <v>0.000714285714285714</v>
      </c>
      <c r="N360" s="42" t="n">
        <f aca="false">IFERROR(J360/F360,0)</f>
        <v>0.00285714285714286</v>
      </c>
      <c r="O360" s="8" t="n">
        <v>0</v>
      </c>
      <c r="P360" s="8" t="n">
        <v>0</v>
      </c>
      <c r="Q360" s="8" t="n">
        <v>0</v>
      </c>
      <c r="R360" s="8" t="n">
        <v>0</v>
      </c>
      <c r="S360" s="8" t="n">
        <v>0</v>
      </c>
      <c r="T360" s="8" t="n">
        <v>1</v>
      </c>
      <c r="U360" s="8" t="n">
        <v>0</v>
      </c>
      <c r="V360" s="8" t="n">
        <v>0</v>
      </c>
      <c r="W360" s="8" t="n">
        <v>1</v>
      </c>
      <c r="X360" s="8" t="n">
        <v>0</v>
      </c>
      <c r="Y360" s="8" t="n">
        <v>0</v>
      </c>
      <c r="Z360" s="8" t="n">
        <v>0</v>
      </c>
      <c r="AA360" s="8" t="n">
        <v>0</v>
      </c>
      <c r="AB360" s="8" t="n">
        <v>0</v>
      </c>
      <c r="AC360" s="8" t="n">
        <v>0</v>
      </c>
      <c r="AD360" s="8" t="n">
        <v>0</v>
      </c>
    </row>
    <row r="361" customFormat="false" ht="15" hidden="false" customHeight="false" outlineLevel="0" collapsed="false">
      <c r="A361" s="38" t="s">
        <v>2157</v>
      </c>
      <c r="B361" s="8" t="s">
        <v>1799</v>
      </c>
      <c r="C361" s="39" t="n">
        <v>12500</v>
      </c>
      <c r="D361" s="40" t="n">
        <v>45991</v>
      </c>
      <c r="E361" s="8" t="n">
        <v>26</v>
      </c>
      <c r="F361" s="39" t="n">
        <v>1371</v>
      </c>
      <c r="G361" s="39" t="n">
        <v>34</v>
      </c>
      <c r="H361" s="39" t="n">
        <v>4</v>
      </c>
      <c r="I361" s="39" t="n">
        <v>5</v>
      </c>
      <c r="J361" s="39" t="n">
        <v>8</v>
      </c>
      <c r="K361" s="8" t="s">
        <v>1240</v>
      </c>
      <c r="L361" s="41" t="s">
        <v>2158</v>
      </c>
      <c r="M361" s="42" t="n">
        <f aca="false">IFERROR(I361/F361,0)</f>
        <v>0.00364697301239971</v>
      </c>
      <c r="N361" s="42" t="n">
        <f aca="false">IFERROR(J361/F361,0)</f>
        <v>0.00583515681983953</v>
      </c>
      <c r="O361" s="8" t="n">
        <v>0</v>
      </c>
      <c r="P361" s="8" t="n">
        <v>0</v>
      </c>
      <c r="Q361" s="8" t="n">
        <v>0</v>
      </c>
      <c r="R361" s="8" t="n">
        <v>0</v>
      </c>
      <c r="S361" s="8" t="n">
        <v>0</v>
      </c>
      <c r="T361" s="8" t="n">
        <v>1</v>
      </c>
      <c r="U361" s="8" t="n">
        <v>0</v>
      </c>
      <c r="V361" s="8" t="n">
        <v>0</v>
      </c>
      <c r="W361" s="8" t="n">
        <v>0</v>
      </c>
      <c r="X361" s="8" t="n">
        <v>1</v>
      </c>
      <c r="Y361" s="8" t="n">
        <v>0</v>
      </c>
      <c r="Z361" s="8" t="n">
        <v>0</v>
      </c>
      <c r="AA361" s="8" t="n">
        <v>0</v>
      </c>
      <c r="AB361" s="8" t="n">
        <v>0</v>
      </c>
      <c r="AC361" s="8" t="n">
        <v>0</v>
      </c>
      <c r="AD361" s="8" t="n">
        <v>0</v>
      </c>
    </row>
    <row r="362" customFormat="false" ht="15" hidden="false" customHeight="false" outlineLevel="0" collapsed="false">
      <c r="A362" s="38" t="s">
        <v>2159</v>
      </c>
      <c r="B362" s="8" t="s">
        <v>2160</v>
      </c>
      <c r="C362" s="39" t="n">
        <v>17300</v>
      </c>
      <c r="D362" s="40" t="n">
        <v>46042</v>
      </c>
      <c r="E362" s="8" t="n">
        <v>48</v>
      </c>
      <c r="F362" s="39" t="n">
        <v>1367</v>
      </c>
      <c r="G362" s="39" t="n">
        <v>26</v>
      </c>
      <c r="H362" s="39" t="n">
        <v>5</v>
      </c>
      <c r="I362" s="39" t="n">
        <v>32</v>
      </c>
      <c r="J362" s="39" t="n">
        <v>5</v>
      </c>
      <c r="K362" s="8" t="s">
        <v>1243</v>
      </c>
      <c r="L362" s="41" t="s">
        <v>2161</v>
      </c>
      <c r="M362" s="42" t="n">
        <f aca="false">IFERROR(I362/F362,0)</f>
        <v>0.0234089246525238</v>
      </c>
      <c r="N362" s="42" t="n">
        <f aca="false">IFERROR(J362/F362,0)</f>
        <v>0.00365764447695684</v>
      </c>
      <c r="O362" s="8" t="n">
        <v>1</v>
      </c>
      <c r="P362" s="8" t="n">
        <v>0</v>
      </c>
      <c r="Q362" s="8" t="n">
        <v>0</v>
      </c>
      <c r="R362" s="8" t="n">
        <v>0</v>
      </c>
      <c r="S362" s="8" t="n">
        <v>0</v>
      </c>
      <c r="T362" s="8" t="n">
        <v>0</v>
      </c>
      <c r="U362" s="8" t="n">
        <v>0</v>
      </c>
      <c r="V362" s="8" t="n">
        <v>0</v>
      </c>
      <c r="W362" s="8" t="n">
        <v>0</v>
      </c>
      <c r="X362" s="8" t="n">
        <v>0</v>
      </c>
      <c r="Y362" s="8" t="n">
        <v>0</v>
      </c>
      <c r="Z362" s="8" t="n">
        <v>0</v>
      </c>
      <c r="AA362" s="8" t="n">
        <v>0</v>
      </c>
      <c r="AB362" s="8" t="n">
        <v>0</v>
      </c>
      <c r="AC362" s="8" t="n">
        <v>0</v>
      </c>
      <c r="AD362" s="8" t="n">
        <v>0</v>
      </c>
    </row>
    <row r="363" customFormat="false" ht="15" hidden="false" customHeight="false" outlineLevel="0" collapsed="false">
      <c r="A363" s="38" t="s">
        <v>2162</v>
      </c>
      <c r="B363" s="8" t="s">
        <v>1640</v>
      </c>
      <c r="C363" s="39" t="n">
        <v>3247</v>
      </c>
      <c r="D363" s="40" t="n">
        <v>46085</v>
      </c>
      <c r="E363" s="8" t="n">
        <v>18</v>
      </c>
      <c r="F363" s="39" t="n">
        <v>1362</v>
      </c>
      <c r="G363" s="39" t="n">
        <v>9</v>
      </c>
      <c r="H363" s="39" t="n">
        <v>0</v>
      </c>
      <c r="I363" s="39" t="n">
        <v>7</v>
      </c>
      <c r="J363" s="39" t="n">
        <v>2</v>
      </c>
      <c r="K363" s="8" t="s">
        <v>1243</v>
      </c>
      <c r="L363" s="41" t="s">
        <v>2100</v>
      </c>
      <c r="M363" s="42" t="n">
        <f aca="false">IFERROR(I363/F363,0)</f>
        <v>0.00513950073421439</v>
      </c>
      <c r="N363" s="42" t="n">
        <f aca="false">IFERROR(J363/F363,0)</f>
        <v>0.00146842878120411</v>
      </c>
      <c r="O363" s="8" t="n">
        <v>0</v>
      </c>
      <c r="P363" s="8" t="n">
        <v>0</v>
      </c>
      <c r="Q363" s="8" t="n">
        <v>0</v>
      </c>
      <c r="R363" s="8" t="n">
        <v>0</v>
      </c>
      <c r="S363" s="8" t="n">
        <v>0</v>
      </c>
      <c r="T363" s="8" t="n">
        <v>0</v>
      </c>
      <c r="U363" s="8" t="n">
        <v>0</v>
      </c>
      <c r="V363" s="8" t="n">
        <v>0</v>
      </c>
      <c r="W363" s="8" t="n">
        <v>0</v>
      </c>
      <c r="X363" s="8" t="n">
        <v>0</v>
      </c>
      <c r="Y363" s="8" t="n">
        <v>0</v>
      </c>
      <c r="Z363" s="8" t="n">
        <v>0</v>
      </c>
      <c r="AA363" s="8" t="n">
        <v>0</v>
      </c>
      <c r="AB363" s="8" t="n">
        <v>1</v>
      </c>
      <c r="AC363" s="8" t="n">
        <v>0</v>
      </c>
      <c r="AD363" s="8" t="n">
        <v>0</v>
      </c>
    </row>
    <row r="364" customFormat="false" ht="15" hidden="false" customHeight="false" outlineLevel="0" collapsed="false">
      <c r="A364" s="38" t="s">
        <v>2163</v>
      </c>
      <c r="B364" s="8" t="s">
        <v>1640</v>
      </c>
      <c r="C364" s="39" t="n">
        <v>3247</v>
      </c>
      <c r="D364" s="40" t="n">
        <v>46059</v>
      </c>
      <c r="E364" s="8" t="n">
        <v>27</v>
      </c>
      <c r="F364" s="39" t="n">
        <v>1338</v>
      </c>
      <c r="G364" s="39" t="n">
        <v>16</v>
      </c>
      <c r="H364" s="39" t="n">
        <v>0</v>
      </c>
      <c r="I364" s="39" t="n">
        <v>4</v>
      </c>
      <c r="J364" s="39" t="n">
        <v>5</v>
      </c>
      <c r="K364" s="8" t="s">
        <v>1243</v>
      </c>
      <c r="L364" s="41" t="s">
        <v>2100</v>
      </c>
      <c r="M364" s="42" t="n">
        <f aca="false">IFERROR(I364/F364,0)</f>
        <v>0.00298953662182362</v>
      </c>
      <c r="N364" s="42" t="n">
        <f aca="false">IFERROR(J364/F364,0)</f>
        <v>0.00373692077727952</v>
      </c>
      <c r="O364" s="8" t="n">
        <v>0</v>
      </c>
      <c r="P364" s="8" t="n">
        <v>0</v>
      </c>
      <c r="Q364" s="8" t="n">
        <v>0</v>
      </c>
      <c r="R364" s="8" t="n">
        <v>0</v>
      </c>
      <c r="S364" s="8" t="n">
        <v>0</v>
      </c>
      <c r="T364" s="8" t="n">
        <v>0</v>
      </c>
      <c r="U364" s="8" t="n">
        <v>0</v>
      </c>
      <c r="V364" s="8" t="n">
        <v>0</v>
      </c>
      <c r="W364" s="8" t="n">
        <v>0</v>
      </c>
      <c r="X364" s="8" t="n">
        <v>0</v>
      </c>
      <c r="Y364" s="8" t="n">
        <v>0</v>
      </c>
      <c r="Z364" s="8" t="n">
        <v>0</v>
      </c>
      <c r="AA364" s="8" t="n">
        <v>0</v>
      </c>
      <c r="AB364" s="8" t="n">
        <v>1</v>
      </c>
      <c r="AC364" s="8" t="n">
        <v>0</v>
      </c>
      <c r="AD364" s="8" t="n">
        <v>0</v>
      </c>
    </row>
    <row r="365" customFormat="false" ht="15" hidden="false" customHeight="false" outlineLevel="0" collapsed="false">
      <c r="A365" s="38" t="s">
        <v>2164</v>
      </c>
      <c r="B365" s="8" t="s">
        <v>1799</v>
      </c>
      <c r="C365" s="39" t="n">
        <v>12500</v>
      </c>
      <c r="D365" s="40" t="n">
        <v>46104</v>
      </c>
      <c r="E365" s="8" t="n">
        <v>63</v>
      </c>
      <c r="F365" s="39" t="n">
        <v>1329</v>
      </c>
      <c r="G365" s="39" t="n">
        <v>60</v>
      </c>
      <c r="H365" s="39" t="n">
        <v>4</v>
      </c>
      <c r="I365" s="39" t="n">
        <v>6</v>
      </c>
      <c r="J365" s="39" t="n">
        <v>7</v>
      </c>
      <c r="K365" s="8" t="s">
        <v>1240</v>
      </c>
      <c r="L365" s="41" t="s">
        <v>2165</v>
      </c>
      <c r="M365" s="42" t="n">
        <f aca="false">IFERROR(I365/F365,0)</f>
        <v>0.00451467268623025</v>
      </c>
      <c r="N365" s="42" t="n">
        <f aca="false">IFERROR(J365/F365,0)</f>
        <v>0.00526711813393529</v>
      </c>
      <c r="O365" s="8" t="n">
        <v>0</v>
      </c>
      <c r="P365" s="8" t="n">
        <v>0</v>
      </c>
      <c r="Q365" s="8" t="n">
        <v>1</v>
      </c>
      <c r="R365" s="8" t="n">
        <v>0</v>
      </c>
      <c r="S365" s="8" t="n">
        <v>0</v>
      </c>
      <c r="T365" s="8" t="n">
        <v>1</v>
      </c>
      <c r="U365" s="8" t="n">
        <v>0</v>
      </c>
      <c r="V365" s="8" t="n">
        <v>0</v>
      </c>
      <c r="W365" s="8" t="n">
        <v>0</v>
      </c>
      <c r="X365" s="8" t="n">
        <v>1</v>
      </c>
      <c r="Y365" s="8" t="n">
        <v>0</v>
      </c>
      <c r="Z365" s="8" t="n">
        <v>0</v>
      </c>
      <c r="AA365" s="8" t="n">
        <v>0</v>
      </c>
      <c r="AB365" s="8" t="n">
        <v>0</v>
      </c>
      <c r="AC365" s="8" t="n">
        <v>0</v>
      </c>
      <c r="AD365" s="8" t="n">
        <v>0</v>
      </c>
    </row>
    <row r="366" customFormat="false" ht="15" hidden="false" customHeight="false" outlineLevel="0" collapsed="false">
      <c r="A366" s="38" t="s">
        <v>2166</v>
      </c>
      <c r="B366" s="8" t="s">
        <v>1799</v>
      </c>
      <c r="C366" s="39" t="n">
        <v>12500</v>
      </c>
      <c r="D366" s="40" t="n">
        <v>46051</v>
      </c>
      <c r="E366" s="8" t="n">
        <v>42</v>
      </c>
      <c r="F366" s="39" t="n">
        <v>1288</v>
      </c>
      <c r="G366" s="39" t="n">
        <v>40</v>
      </c>
      <c r="H366" s="39" t="n">
        <v>6</v>
      </c>
      <c r="I366" s="39" t="n">
        <v>4</v>
      </c>
      <c r="J366" s="39" t="n">
        <v>6</v>
      </c>
      <c r="K366" s="8" t="s">
        <v>1240</v>
      </c>
      <c r="L366" s="41" t="s">
        <v>2167</v>
      </c>
      <c r="M366" s="42" t="n">
        <f aca="false">IFERROR(I366/F366,0)</f>
        <v>0.0031055900621118</v>
      </c>
      <c r="N366" s="42" t="n">
        <f aca="false">IFERROR(J366/F366,0)</f>
        <v>0.0046583850931677</v>
      </c>
      <c r="O366" s="8" t="n">
        <v>0</v>
      </c>
      <c r="P366" s="8" t="n">
        <v>0</v>
      </c>
      <c r="Q366" s="8" t="n">
        <v>0</v>
      </c>
      <c r="R366" s="8" t="n">
        <v>0</v>
      </c>
      <c r="S366" s="8" t="n">
        <v>0</v>
      </c>
      <c r="T366" s="8" t="n">
        <v>1</v>
      </c>
      <c r="U366" s="8" t="n">
        <v>0</v>
      </c>
      <c r="V366" s="8" t="n">
        <v>0</v>
      </c>
      <c r="W366" s="8" t="n">
        <v>1</v>
      </c>
      <c r="X366" s="8" t="n">
        <v>0</v>
      </c>
      <c r="Y366" s="8" t="n">
        <v>0</v>
      </c>
      <c r="Z366" s="8" t="n">
        <v>0</v>
      </c>
      <c r="AA366" s="8" t="n">
        <v>0</v>
      </c>
      <c r="AB366" s="8" t="n">
        <v>0</v>
      </c>
      <c r="AC366" s="8" t="n">
        <v>0</v>
      </c>
      <c r="AD366" s="8" t="n">
        <v>0</v>
      </c>
    </row>
    <row r="367" customFormat="false" ht="15" hidden="false" customHeight="false" outlineLevel="0" collapsed="false">
      <c r="A367" s="38" t="s">
        <v>2168</v>
      </c>
      <c r="B367" s="8" t="s">
        <v>2169</v>
      </c>
      <c r="C367" s="39" t="n">
        <v>121</v>
      </c>
      <c r="D367" s="40" t="n">
        <v>46312</v>
      </c>
      <c r="E367" s="8" t="n">
        <v>13</v>
      </c>
      <c r="F367" s="39" t="n">
        <v>1283</v>
      </c>
      <c r="G367" s="39" t="n">
        <v>23</v>
      </c>
      <c r="H367" s="39" t="n">
        <v>0</v>
      </c>
      <c r="I367" s="39" t="n">
        <v>0</v>
      </c>
      <c r="J367" s="39" t="n">
        <v>2</v>
      </c>
      <c r="K367" s="8" t="s">
        <v>1243</v>
      </c>
      <c r="L367" s="41" t="s">
        <v>2170</v>
      </c>
      <c r="M367" s="42" t="n">
        <f aca="false">IFERROR(I367/F367,0)</f>
        <v>0</v>
      </c>
      <c r="N367" s="42" t="n">
        <f aca="false">IFERROR(J367/F367,0)</f>
        <v>0.00155884645362432</v>
      </c>
      <c r="O367" s="8" t="n">
        <v>1</v>
      </c>
      <c r="P367" s="8" t="n">
        <v>0</v>
      </c>
      <c r="Q367" s="8" t="n">
        <v>0</v>
      </c>
      <c r="R367" s="8" t="n">
        <v>0</v>
      </c>
      <c r="S367" s="8" t="n">
        <v>0</v>
      </c>
      <c r="T367" s="8" t="n">
        <v>0</v>
      </c>
      <c r="U367" s="8" t="n">
        <v>0</v>
      </c>
      <c r="V367" s="8" t="n">
        <v>0</v>
      </c>
      <c r="W367" s="8" t="n">
        <v>0</v>
      </c>
      <c r="X367" s="8" t="n">
        <v>0</v>
      </c>
      <c r="Y367" s="8" t="n">
        <v>0</v>
      </c>
      <c r="Z367" s="8" t="n">
        <v>0</v>
      </c>
      <c r="AA367" s="8" t="n">
        <v>0</v>
      </c>
      <c r="AB367" s="8" t="n">
        <v>0</v>
      </c>
      <c r="AC367" s="8" t="n">
        <v>0</v>
      </c>
      <c r="AD367" s="8" t="n">
        <v>0</v>
      </c>
    </row>
    <row r="368" customFormat="false" ht="15" hidden="false" customHeight="false" outlineLevel="0" collapsed="false">
      <c r="A368" s="38" t="s">
        <v>2171</v>
      </c>
      <c r="B368" s="8" t="s">
        <v>2172</v>
      </c>
      <c r="C368" s="39" t="n">
        <v>179</v>
      </c>
      <c r="D368" s="40" t="n">
        <v>46311</v>
      </c>
      <c r="E368" s="8" t="n">
        <v>109</v>
      </c>
      <c r="F368" s="39" t="n">
        <v>1265</v>
      </c>
      <c r="G368" s="39" t="n">
        <v>58</v>
      </c>
      <c r="H368" s="39" t="n">
        <v>8</v>
      </c>
      <c r="I368" s="39" t="n">
        <v>1</v>
      </c>
      <c r="J368" s="39" t="n">
        <v>3</v>
      </c>
      <c r="K368" s="8" t="s">
        <v>1243</v>
      </c>
      <c r="L368" s="41" t="s">
        <v>2173</v>
      </c>
      <c r="M368" s="42" t="n">
        <f aca="false">IFERROR(I368/F368,0)</f>
        <v>0.000790513833992095</v>
      </c>
      <c r="N368" s="42" t="n">
        <f aca="false">IFERROR(J368/F368,0)</f>
        <v>0.00237154150197628</v>
      </c>
      <c r="O368" s="8" t="n">
        <v>1</v>
      </c>
      <c r="P368" s="8" t="n">
        <v>0</v>
      </c>
      <c r="Q368" s="8" t="n">
        <v>0</v>
      </c>
      <c r="R368" s="8" t="n">
        <v>0</v>
      </c>
      <c r="S368" s="8" t="n">
        <v>0</v>
      </c>
      <c r="T368" s="8" t="n">
        <v>0</v>
      </c>
      <c r="U368" s="8" t="n">
        <v>0</v>
      </c>
      <c r="V368" s="8" t="n">
        <v>0</v>
      </c>
      <c r="W368" s="8" t="n">
        <v>0</v>
      </c>
      <c r="X368" s="8" t="n">
        <v>0</v>
      </c>
      <c r="Y368" s="8" t="n">
        <v>0</v>
      </c>
      <c r="Z368" s="8" t="n">
        <v>0</v>
      </c>
      <c r="AA368" s="8" t="n">
        <v>0</v>
      </c>
      <c r="AB368" s="8" t="n">
        <v>0</v>
      </c>
      <c r="AC368" s="8" t="n">
        <v>0</v>
      </c>
      <c r="AD368" s="8" t="n">
        <v>0</v>
      </c>
    </row>
    <row r="369" customFormat="false" ht="15" hidden="false" customHeight="false" outlineLevel="0" collapsed="false">
      <c r="A369" s="38" t="s">
        <v>2174</v>
      </c>
      <c r="B369" s="8" t="s">
        <v>1837</v>
      </c>
      <c r="C369" s="39" t="n">
        <v>21500</v>
      </c>
      <c r="D369" s="40" t="n">
        <v>46312</v>
      </c>
      <c r="E369" s="8" t="n">
        <v>24</v>
      </c>
      <c r="F369" s="39" t="n">
        <v>1253</v>
      </c>
      <c r="G369" s="39" t="n">
        <v>61</v>
      </c>
      <c r="H369" s="39" t="n">
        <v>3</v>
      </c>
      <c r="I369" s="39" t="n">
        <v>2</v>
      </c>
      <c r="J369" s="39" t="n">
        <v>1</v>
      </c>
      <c r="K369" s="8" t="s">
        <v>1240</v>
      </c>
      <c r="L369" s="41"/>
      <c r="M369" s="42" t="n">
        <f aca="false">IFERROR(I369/F369,0)</f>
        <v>0.00159616919393456</v>
      </c>
      <c r="N369" s="42" t="n">
        <f aca="false">IFERROR(J369/F369,0)</f>
        <v>0.000798084596967279</v>
      </c>
      <c r="O369" s="8" t="n">
        <v>0</v>
      </c>
      <c r="P369" s="8" t="n">
        <v>1</v>
      </c>
      <c r="Q369" s="8" t="n">
        <v>0</v>
      </c>
      <c r="R369" s="8" t="n">
        <v>0</v>
      </c>
      <c r="S369" s="8" t="n">
        <v>0</v>
      </c>
      <c r="T369" s="8" t="n">
        <v>0</v>
      </c>
      <c r="U369" s="8" t="n">
        <v>0</v>
      </c>
      <c r="V369" s="8" t="n">
        <v>0</v>
      </c>
      <c r="W369" s="8" t="n">
        <v>0</v>
      </c>
      <c r="X369" s="8" t="n">
        <v>0</v>
      </c>
      <c r="Y369" s="8" t="n">
        <v>0</v>
      </c>
      <c r="Z369" s="8" t="n">
        <v>0</v>
      </c>
      <c r="AA369" s="8" t="n">
        <v>0</v>
      </c>
      <c r="AB369" s="8" t="n">
        <v>0</v>
      </c>
      <c r="AC369" s="8" t="n">
        <v>0</v>
      </c>
      <c r="AD369" s="8" t="n">
        <v>0</v>
      </c>
    </row>
    <row r="370" customFormat="false" ht="15" hidden="false" customHeight="false" outlineLevel="0" collapsed="false">
      <c r="A370" s="38" t="s">
        <v>2175</v>
      </c>
      <c r="B370" s="8" t="s">
        <v>1721</v>
      </c>
      <c r="C370" s="39" t="n">
        <v>1023</v>
      </c>
      <c r="D370" s="40" t="n">
        <v>46179</v>
      </c>
      <c r="E370" s="8" t="n">
        <v>26</v>
      </c>
      <c r="F370" s="39" t="n">
        <v>1191</v>
      </c>
      <c r="G370" s="39" t="n">
        <v>28</v>
      </c>
      <c r="H370" s="39" t="n">
        <v>1</v>
      </c>
      <c r="I370" s="39" t="n">
        <v>3</v>
      </c>
      <c r="J370" s="39" t="n">
        <v>4</v>
      </c>
      <c r="K370" s="8" t="s">
        <v>1240</v>
      </c>
      <c r="L370" s="41" t="s">
        <v>2176</v>
      </c>
      <c r="M370" s="42" t="n">
        <f aca="false">IFERROR(I370/F370,0)</f>
        <v>0.00251889168765743</v>
      </c>
      <c r="N370" s="42" t="n">
        <f aca="false">IFERROR(J370/F370,0)</f>
        <v>0.00335852225020991</v>
      </c>
      <c r="O370" s="8" t="n">
        <v>0</v>
      </c>
      <c r="P370" s="8" t="n">
        <v>0</v>
      </c>
      <c r="Q370" s="8" t="n">
        <v>0</v>
      </c>
      <c r="R370" s="8" t="n">
        <v>0</v>
      </c>
      <c r="S370" s="8" t="n">
        <v>0</v>
      </c>
      <c r="T370" s="8" t="n">
        <v>0</v>
      </c>
      <c r="U370" s="8" t="n">
        <v>0</v>
      </c>
      <c r="V370" s="8" t="n">
        <v>1</v>
      </c>
      <c r="W370" s="8" t="n">
        <v>0</v>
      </c>
      <c r="X370" s="8" t="n">
        <v>0</v>
      </c>
      <c r="Y370" s="8" t="n">
        <v>0</v>
      </c>
      <c r="Z370" s="8" t="n">
        <v>0</v>
      </c>
      <c r="AA370" s="8" t="n">
        <v>0</v>
      </c>
      <c r="AB370" s="8" t="n">
        <v>0</v>
      </c>
      <c r="AC370" s="8" t="n">
        <v>0</v>
      </c>
      <c r="AD370" s="8" t="n">
        <v>0</v>
      </c>
    </row>
    <row r="371" customFormat="false" ht="15" hidden="false" customHeight="false" outlineLevel="0" collapsed="false">
      <c r="A371" s="38" t="s">
        <v>2177</v>
      </c>
      <c r="B371" s="8" t="s">
        <v>1496</v>
      </c>
      <c r="C371" s="39" t="n">
        <v>12800</v>
      </c>
      <c r="D371" s="40" t="n">
        <v>46311</v>
      </c>
      <c r="E371" s="8" t="n">
        <v>29</v>
      </c>
      <c r="F371" s="39" t="n">
        <v>1172</v>
      </c>
      <c r="G371" s="39" t="n">
        <v>9</v>
      </c>
      <c r="H371" s="39" t="n">
        <v>0</v>
      </c>
      <c r="I371" s="39" t="n">
        <v>2</v>
      </c>
      <c r="J371" s="39" t="n">
        <v>1</v>
      </c>
      <c r="K371" s="8" t="s">
        <v>1243</v>
      </c>
      <c r="L371" s="41" t="s">
        <v>1497</v>
      </c>
      <c r="M371" s="42" t="n">
        <f aca="false">IFERROR(I371/F371,0)</f>
        <v>0.00170648464163823</v>
      </c>
      <c r="N371" s="42" t="n">
        <f aca="false">IFERROR(J371/F371,0)</f>
        <v>0.000853242320819113</v>
      </c>
      <c r="O371" s="8" t="n">
        <v>0</v>
      </c>
      <c r="P371" s="8" t="n">
        <v>0</v>
      </c>
      <c r="Q371" s="8" t="n">
        <v>1</v>
      </c>
      <c r="R371" s="8" t="n">
        <v>0</v>
      </c>
      <c r="S371" s="8" t="n">
        <v>0</v>
      </c>
      <c r="T371" s="8" t="n">
        <v>0</v>
      </c>
      <c r="U371" s="8" t="n">
        <v>1</v>
      </c>
      <c r="V371" s="8" t="n">
        <v>1</v>
      </c>
      <c r="W371" s="8" t="n">
        <v>0</v>
      </c>
      <c r="X371" s="8" t="n">
        <v>0</v>
      </c>
      <c r="Y371" s="8" t="n">
        <v>0</v>
      </c>
      <c r="Z371" s="8" t="n">
        <v>0</v>
      </c>
      <c r="AA371" s="8" t="n">
        <v>0</v>
      </c>
      <c r="AB371" s="8" t="n">
        <v>0</v>
      </c>
      <c r="AC371" s="8" t="n">
        <v>0</v>
      </c>
      <c r="AD371" s="8" t="n">
        <v>0</v>
      </c>
    </row>
    <row r="372" customFormat="false" ht="15" hidden="false" customHeight="false" outlineLevel="0" collapsed="false">
      <c r="A372" s="38" t="s">
        <v>2178</v>
      </c>
      <c r="B372" s="8" t="s">
        <v>1799</v>
      </c>
      <c r="C372" s="39" t="n">
        <v>12500</v>
      </c>
      <c r="D372" s="40" t="n">
        <v>46056</v>
      </c>
      <c r="E372" s="8" t="n">
        <v>33</v>
      </c>
      <c r="F372" s="39" t="n">
        <v>1142</v>
      </c>
      <c r="G372" s="39" t="n">
        <v>41</v>
      </c>
      <c r="H372" s="39" t="n">
        <v>4</v>
      </c>
      <c r="I372" s="39" t="n">
        <v>2</v>
      </c>
      <c r="J372" s="39" t="n">
        <v>6</v>
      </c>
      <c r="K372" s="8" t="s">
        <v>1240</v>
      </c>
      <c r="L372" s="41" t="s">
        <v>2179</v>
      </c>
      <c r="M372" s="42" t="n">
        <f aca="false">IFERROR(I372/F372,0)</f>
        <v>0.00175131348511384</v>
      </c>
      <c r="N372" s="42" t="n">
        <f aca="false">IFERROR(J372/F372,0)</f>
        <v>0.00525394045534151</v>
      </c>
      <c r="O372" s="8" t="n">
        <v>0</v>
      </c>
      <c r="P372" s="8" t="n">
        <v>0</v>
      </c>
      <c r="Q372" s="8" t="n">
        <v>0</v>
      </c>
      <c r="R372" s="8" t="n">
        <v>0</v>
      </c>
      <c r="S372" s="8" t="n">
        <v>0</v>
      </c>
      <c r="T372" s="8" t="n">
        <v>1</v>
      </c>
      <c r="U372" s="8" t="n">
        <v>0</v>
      </c>
      <c r="V372" s="8" t="n">
        <v>0</v>
      </c>
      <c r="W372" s="8" t="n">
        <v>1</v>
      </c>
      <c r="X372" s="8" t="n">
        <v>0</v>
      </c>
      <c r="Y372" s="8" t="n">
        <v>0</v>
      </c>
      <c r="Z372" s="8" t="n">
        <v>0</v>
      </c>
      <c r="AA372" s="8" t="n">
        <v>0</v>
      </c>
      <c r="AB372" s="8" t="n">
        <v>0</v>
      </c>
      <c r="AC372" s="8" t="n">
        <v>0</v>
      </c>
      <c r="AD372" s="8" t="n">
        <v>0</v>
      </c>
    </row>
    <row r="373" customFormat="false" ht="15" hidden="false" customHeight="false" outlineLevel="0" collapsed="false">
      <c r="A373" s="38" t="s">
        <v>2180</v>
      </c>
      <c r="B373" s="8" t="s">
        <v>2181</v>
      </c>
      <c r="C373" s="39" t="n">
        <v>798</v>
      </c>
      <c r="D373" s="40" t="n">
        <v>44927</v>
      </c>
      <c r="E373" s="8" t="n">
        <v>40</v>
      </c>
      <c r="F373" s="39" t="n">
        <v>1127</v>
      </c>
      <c r="G373" s="39" t="n">
        <v>5</v>
      </c>
      <c r="H373" s="39" t="n">
        <v>0</v>
      </c>
      <c r="I373" s="39" t="n">
        <v>1</v>
      </c>
      <c r="J373" s="39" t="n">
        <v>1</v>
      </c>
      <c r="K373" s="8" t="s">
        <v>1243</v>
      </c>
      <c r="L373" s="41" t="s">
        <v>2182</v>
      </c>
      <c r="M373" s="42" t="n">
        <f aca="false">IFERROR(I373/F373,0)</f>
        <v>0.000887311446317658</v>
      </c>
      <c r="N373" s="42" t="n">
        <f aca="false">IFERROR(J373/F373,0)</f>
        <v>0.000887311446317658</v>
      </c>
      <c r="O373" s="8" t="n">
        <v>0</v>
      </c>
      <c r="P373" s="8" t="n">
        <v>1</v>
      </c>
      <c r="Q373" s="8" t="n">
        <v>0</v>
      </c>
      <c r="R373" s="8" t="n">
        <v>1</v>
      </c>
      <c r="S373" s="8" t="n">
        <v>0</v>
      </c>
      <c r="T373" s="8" t="n">
        <v>0</v>
      </c>
      <c r="U373" s="8" t="n">
        <v>0</v>
      </c>
      <c r="V373" s="8" t="n">
        <v>0</v>
      </c>
      <c r="W373" s="8" t="n">
        <v>0</v>
      </c>
      <c r="X373" s="8" t="n">
        <v>0</v>
      </c>
      <c r="Y373" s="8" t="n">
        <v>0</v>
      </c>
      <c r="Z373" s="8" t="n">
        <v>1</v>
      </c>
      <c r="AA373" s="8" t="n">
        <v>0</v>
      </c>
      <c r="AB373" s="8" t="n">
        <v>0</v>
      </c>
      <c r="AC373" s="8" t="n">
        <v>0</v>
      </c>
      <c r="AD373" s="8" t="n">
        <v>0</v>
      </c>
    </row>
    <row r="374" customFormat="false" ht="15" hidden="false" customHeight="false" outlineLevel="0" collapsed="false">
      <c r="A374" s="38" t="s">
        <v>2183</v>
      </c>
      <c r="B374" s="8" t="s">
        <v>2184</v>
      </c>
      <c r="C374" s="39" t="n">
        <v>564</v>
      </c>
      <c r="D374" s="40" t="n">
        <v>46215</v>
      </c>
      <c r="E374" s="8" t="n">
        <v>69</v>
      </c>
      <c r="F374" s="39" t="n">
        <v>1100</v>
      </c>
      <c r="G374" s="39" t="n">
        <v>57</v>
      </c>
      <c r="H374" s="39" t="n">
        <v>5</v>
      </c>
      <c r="I374" s="39" t="n">
        <v>5</v>
      </c>
      <c r="J374" s="39" t="n">
        <v>3</v>
      </c>
      <c r="K374" s="8" t="s">
        <v>1240</v>
      </c>
      <c r="L374" s="41" t="s">
        <v>2185</v>
      </c>
      <c r="M374" s="42" t="n">
        <f aca="false">IFERROR(I374/F374,0)</f>
        <v>0.00454545454545455</v>
      </c>
      <c r="N374" s="42" t="n">
        <f aca="false">IFERROR(J374/F374,0)</f>
        <v>0.00272727272727273</v>
      </c>
      <c r="O374" s="8" t="n">
        <v>0</v>
      </c>
      <c r="P374" s="8" t="n">
        <v>0</v>
      </c>
      <c r="Q374" s="8" t="n">
        <v>0</v>
      </c>
      <c r="R374" s="8" t="n">
        <v>0</v>
      </c>
      <c r="S374" s="8" t="n">
        <v>0</v>
      </c>
      <c r="T374" s="8" t="n">
        <v>0</v>
      </c>
      <c r="U374" s="8" t="n">
        <v>0</v>
      </c>
      <c r="V374" s="8" t="n">
        <v>1</v>
      </c>
      <c r="W374" s="8" t="n">
        <v>0</v>
      </c>
      <c r="X374" s="8" t="n">
        <v>0</v>
      </c>
      <c r="Y374" s="8" t="n">
        <v>0</v>
      </c>
      <c r="Z374" s="8" t="n">
        <v>0</v>
      </c>
      <c r="AA374" s="8" t="n">
        <v>0</v>
      </c>
      <c r="AB374" s="8" t="n">
        <v>0</v>
      </c>
      <c r="AC374" s="8" t="n">
        <v>0</v>
      </c>
      <c r="AD374" s="8" t="n">
        <v>0</v>
      </c>
    </row>
    <row r="375" customFormat="false" ht="15" hidden="false" customHeight="false" outlineLevel="0" collapsed="false">
      <c r="A375" s="38" t="s">
        <v>2186</v>
      </c>
      <c r="B375" s="8" t="s">
        <v>1799</v>
      </c>
      <c r="C375" s="39" t="n">
        <v>12500</v>
      </c>
      <c r="D375" s="40" t="n">
        <v>46064</v>
      </c>
      <c r="E375" s="8" t="n">
        <v>32</v>
      </c>
      <c r="F375" s="39" t="n">
        <v>1045</v>
      </c>
      <c r="G375" s="39" t="n">
        <v>38</v>
      </c>
      <c r="H375" s="39" t="n">
        <v>3</v>
      </c>
      <c r="I375" s="39" t="n">
        <v>6</v>
      </c>
      <c r="J375" s="39" t="n">
        <v>6</v>
      </c>
      <c r="K375" s="8" t="s">
        <v>1240</v>
      </c>
      <c r="L375" s="41" t="s">
        <v>2187</v>
      </c>
      <c r="M375" s="42" t="n">
        <f aca="false">IFERROR(I375/F375,0)</f>
        <v>0.00574162679425837</v>
      </c>
      <c r="N375" s="42" t="n">
        <f aca="false">IFERROR(J375/F375,0)</f>
        <v>0.00574162679425837</v>
      </c>
      <c r="O375" s="8" t="n">
        <v>0</v>
      </c>
      <c r="P375" s="8" t="n">
        <v>0</v>
      </c>
      <c r="Q375" s="8" t="n">
        <v>0</v>
      </c>
      <c r="R375" s="8" t="n">
        <v>0</v>
      </c>
      <c r="S375" s="8" t="n">
        <v>0</v>
      </c>
      <c r="T375" s="8" t="n">
        <v>1</v>
      </c>
      <c r="U375" s="8" t="n">
        <v>0</v>
      </c>
      <c r="V375" s="8" t="n">
        <v>0</v>
      </c>
      <c r="W375" s="8" t="n">
        <v>0</v>
      </c>
      <c r="X375" s="8" t="n">
        <v>0</v>
      </c>
      <c r="Y375" s="8" t="n">
        <v>0</v>
      </c>
      <c r="Z375" s="8" t="n">
        <v>0</v>
      </c>
      <c r="AA375" s="8" t="n">
        <v>0</v>
      </c>
      <c r="AB375" s="8" t="n">
        <v>0</v>
      </c>
      <c r="AC375" s="8" t="n">
        <v>0</v>
      </c>
      <c r="AD375" s="8" t="n">
        <v>0</v>
      </c>
    </row>
    <row r="376" customFormat="false" ht="15" hidden="false" customHeight="false" outlineLevel="0" collapsed="false">
      <c r="A376" s="38" t="s">
        <v>2188</v>
      </c>
      <c r="B376" s="8" t="s">
        <v>2189</v>
      </c>
      <c r="C376" s="39" t="n">
        <v>513</v>
      </c>
      <c r="D376" s="40" t="n">
        <v>46067</v>
      </c>
      <c r="E376" s="8" t="n">
        <v>16</v>
      </c>
      <c r="F376" s="39" t="n">
        <v>1045</v>
      </c>
      <c r="G376" s="39" t="n">
        <v>6</v>
      </c>
      <c r="H376" s="39" t="n">
        <v>0</v>
      </c>
      <c r="I376" s="39" t="n">
        <v>1</v>
      </c>
      <c r="J376" s="39" t="n">
        <v>4</v>
      </c>
      <c r="K376" s="8" t="s">
        <v>1240</v>
      </c>
      <c r="L376" s="41" t="s">
        <v>2190</v>
      </c>
      <c r="M376" s="42" t="n">
        <f aca="false">IFERROR(I376/F376,0)</f>
        <v>0.000956937799043062</v>
      </c>
      <c r="N376" s="42" t="n">
        <f aca="false">IFERROR(J376/F376,0)</f>
        <v>0.00382775119617225</v>
      </c>
      <c r="O376" s="8" t="n">
        <v>0</v>
      </c>
      <c r="P376" s="8" t="n">
        <v>0</v>
      </c>
      <c r="Q376" s="8" t="n">
        <v>0</v>
      </c>
      <c r="R376" s="8" t="n">
        <v>0</v>
      </c>
      <c r="S376" s="8" t="n">
        <v>0</v>
      </c>
      <c r="T376" s="8" t="n">
        <v>0</v>
      </c>
      <c r="U376" s="8" t="n">
        <v>0</v>
      </c>
      <c r="V376" s="8" t="n">
        <v>0</v>
      </c>
      <c r="W376" s="8" t="n">
        <v>0</v>
      </c>
      <c r="X376" s="8" t="n">
        <v>0</v>
      </c>
      <c r="Y376" s="8" t="n">
        <v>0</v>
      </c>
      <c r="Z376" s="8" t="n">
        <v>0</v>
      </c>
      <c r="AA376" s="8" t="n">
        <v>0</v>
      </c>
      <c r="AB376" s="8" t="n">
        <v>0</v>
      </c>
      <c r="AC376" s="8" t="n">
        <v>0</v>
      </c>
      <c r="AD376" s="8" t="n">
        <v>0</v>
      </c>
    </row>
    <row r="377" customFormat="false" ht="15" hidden="false" customHeight="false" outlineLevel="0" collapsed="false">
      <c r="A377" s="38" t="s">
        <v>2191</v>
      </c>
      <c r="B377" s="8" t="s">
        <v>1359</v>
      </c>
      <c r="C377" s="39" t="n">
        <v>7158</v>
      </c>
      <c r="D377" s="40" t="n">
        <v>46201</v>
      </c>
      <c r="E377" s="8" t="n">
        <v>46</v>
      </c>
      <c r="F377" s="39" t="n">
        <v>1042</v>
      </c>
      <c r="G377" s="39" t="n">
        <v>53</v>
      </c>
      <c r="H377" s="39" t="n">
        <v>1</v>
      </c>
      <c r="I377" s="39" t="n">
        <v>13</v>
      </c>
      <c r="J377" s="39" t="n">
        <v>3</v>
      </c>
      <c r="K377" s="8" t="s">
        <v>1243</v>
      </c>
      <c r="L377" s="41" t="s">
        <v>2192</v>
      </c>
      <c r="M377" s="42" t="n">
        <f aca="false">IFERROR(I377/F377,0)</f>
        <v>0.0124760076775432</v>
      </c>
      <c r="N377" s="42" t="n">
        <f aca="false">IFERROR(J377/F377,0)</f>
        <v>0.00287907869481766</v>
      </c>
      <c r="O377" s="8" t="n">
        <v>0</v>
      </c>
      <c r="P377" s="8" t="n">
        <v>0</v>
      </c>
      <c r="Q377" s="8" t="n">
        <v>0</v>
      </c>
      <c r="R377" s="8" t="n">
        <v>0</v>
      </c>
      <c r="S377" s="8" t="n">
        <v>0</v>
      </c>
      <c r="T377" s="8" t="n">
        <v>1</v>
      </c>
      <c r="U377" s="8" t="n">
        <v>0</v>
      </c>
      <c r="V377" s="8" t="n">
        <v>0</v>
      </c>
      <c r="W377" s="8" t="n">
        <v>1</v>
      </c>
      <c r="X377" s="8" t="n">
        <v>1</v>
      </c>
      <c r="Y377" s="8" t="n">
        <v>0</v>
      </c>
      <c r="Z377" s="8" t="n">
        <v>0</v>
      </c>
      <c r="AA377" s="8" t="n">
        <v>0</v>
      </c>
      <c r="AB377" s="8" t="n">
        <v>0</v>
      </c>
      <c r="AC377" s="8" t="n">
        <v>0</v>
      </c>
      <c r="AD377" s="8" t="n">
        <v>0</v>
      </c>
    </row>
    <row r="378" customFormat="false" ht="15" hidden="false" customHeight="false" outlineLevel="0" collapsed="false">
      <c r="A378" s="38" t="s">
        <v>2193</v>
      </c>
      <c r="B378" s="8" t="s">
        <v>2194</v>
      </c>
      <c r="C378" s="39" t="n">
        <v>240</v>
      </c>
      <c r="D378" s="40" t="n">
        <v>46223</v>
      </c>
      <c r="E378" s="8" t="n">
        <v>44</v>
      </c>
      <c r="F378" s="39" t="n">
        <v>1041</v>
      </c>
      <c r="G378" s="39" t="n">
        <v>5</v>
      </c>
      <c r="H378" s="39" t="n">
        <v>0</v>
      </c>
      <c r="I378" s="39" t="n">
        <v>0</v>
      </c>
      <c r="J378" s="39" t="n">
        <v>1</v>
      </c>
      <c r="K378" s="8" t="s">
        <v>1240</v>
      </c>
      <c r="L378" s="41" t="s">
        <v>2195</v>
      </c>
      <c r="M378" s="42" t="n">
        <f aca="false">IFERROR(I378/F378,0)</f>
        <v>0</v>
      </c>
      <c r="N378" s="42" t="n">
        <f aca="false">IFERROR(J378/F378,0)</f>
        <v>0.000960614793467819</v>
      </c>
      <c r="O378" s="8" t="n">
        <v>0</v>
      </c>
      <c r="P378" s="8" t="n">
        <v>0</v>
      </c>
      <c r="Q378" s="8" t="n">
        <v>0</v>
      </c>
      <c r="R378" s="8" t="n">
        <v>0</v>
      </c>
      <c r="S378" s="8" t="n">
        <v>0</v>
      </c>
      <c r="T378" s="8" t="n">
        <v>1</v>
      </c>
      <c r="U378" s="8" t="n">
        <v>0</v>
      </c>
      <c r="V378" s="8" t="n">
        <v>0</v>
      </c>
      <c r="W378" s="8" t="n">
        <v>1</v>
      </c>
      <c r="X378" s="8" t="n">
        <v>0</v>
      </c>
      <c r="Y378" s="8" t="n">
        <v>0</v>
      </c>
      <c r="Z378" s="8" t="n">
        <v>0</v>
      </c>
      <c r="AA378" s="8" t="n">
        <v>0</v>
      </c>
      <c r="AB378" s="8" t="n">
        <v>0</v>
      </c>
      <c r="AC378" s="8" t="n">
        <v>0</v>
      </c>
      <c r="AD378" s="8" t="n">
        <v>0</v>
      </c>
    </row>
    <row r="379" customFormat="false" ht="15" hidden="false" customHeight="false" outlineLevel="0" collapsed="false">
      <c r="A379" s="38" t="s">
        <v>2196</v>
      </c>
      <c r="B379" s="8" t="s">
        <v>1496</v>
      </c>
      <c r="C379" s="39" t="n">
        <v>12800</v>
      </c>
      <c r="D379" s="40" t="n">
        <v>46312</v>
      </c>
      <c r="E379" s="8" t="n">
        <v>22</v>
      </c>
      <c r="F379" s="39" t="n">
        <v>1035</v>
      </c>
      <c r="G379" s="39" t="n">
        <v>5</v>
      </c>
      <c r="H379" s="39" t="n">
        <v>0</v>
      </c>
      <c r="I379" s="39" t="n">
        <v>0</v>
      </c>
      <c r="J379" s="39" t="n">
        <v>1</v>
      </c>
      <c r="K379" s="8" t="s">
        <v>1243</v>
      </c>
      <c r="L379" s="41" t="s">
        <v>1497</v>
      </c>
      <c r="M379" s="42" t="n">
        <f aca="false">IFERROR(I379/F379,0)</f>
        <v>0</v>
      </c>
      <c r="N379" s="42" t="n">
        <f aca="false">IFERROR(J379/F379,0)</f>
        <v>0.000966183574879227</v>
      </c>
      <c r="O379" s="8" t="n">
        <v>0</v>
      </c>
      <c r="P379" s="8" t="n">
        <v>0</v>
      </c>
      <c r="Q379" s="8" t="n">
        <v>1</v>
      </c>
      <c r="R379" s="8" t="n">
        <v>0</v>
      </c>
      <c r="S379" s="8" t="n">
        <v>0</v>
      </c>
      <c r="T379" s="8" t="n">
        <v>0</v>
      </c>
      <c r="U379" s="8" t="n">
        <v>1</v>
      </c>
      <c r="V379" s="8" t="n">
        <v>1</v>
      </c>
      <c r="W379" s="8" t="n">
        <v>0</v>
      </c>
      <c r="X379" s="8" t="n">
        <v>0</v>
      </c>
      <c r="Y379" s="8" t="n">
        <v>0</v>
      </c>
      <c r="Z379" s="8" t="n">
        <v>0</v>
      </c>
      <c r="AA379" s="8" t="n">
        <v>0</v>
      </c>
      <c r="AB379" s="8" t="n">
        <v>0</v>
      </c>
      <c r="AC379" s="8" t="n">
        <v>0</v>
      </c>
      <c r="AD379" s="8" t="n">
        <v>0</v>
      </c>
    </row>
    <row r="380" customFormat="false" ht="15" hidden="false" customHeight="false" outlineLevel="0" collapsed="false">
      <c r="A380" s="38" t="s">
        <v>2197</v>
      </c>
      <c r="B380" s="8" t="s">
        <v>2198</v>
      </c>
      <c r="C380" s="39" t="n">
        <v>983</v>
      </c>
      <c r="D380" s="40" t="n">
        <v>46312</v>
      </c>
      <c r="E380" s="8" t="n">
        <v>16</v>
      </c>
      <c r="F380" s="39" t="n">
        <v>1025</v>
      </c>
      <c r="G380" s="39" t="n">
        <v>19</v>
      </c>
      <c r="H380" s="39" t="n">
        <v>3</v>
      </c>
      <c r="I380" s="39" t="n">
        <v>8</v>
      </c>
      <c r="J380" s="39" t="n">
        <v>7</v>
      </c>
      <c r="K380" s="8" t="s">
        <v>1243</v>
      </c>
      <c r="L380" s="41" t="s">
        <v>2199</v>
      </c>
      <c r="M380" s="42" t="n">
        <f aca="false">IFERROR(I380/F380,0)</f>
        <v>0.00780487804878049</v>
      </c>
      <c r="N380" s="42" t="n">
        <f aca="false">IFERROR(J380/F380,0)</f>
        <v>0.00682926829268293</v>
      </c>
      <c r="O380" s="8" t="n">
        <v>0</v>
      </c>
      <c r="P380" s="8" t="n">
        <v>1</v>
      </c>
      <c r="Q380" s="8" t="n">
        <v>0</v>
      </c>
      <c r="R380" s="8" t="n">
        <v>0</v>
      </c>
      <c r="S380" s="8" t="n">
        <v>0</v>
      </c>
      <c r="T380" s="8" t="n">
        <v>0</v>
      </c>
      <c r="U380" s="8" t="n">
        <v>0</v>
      </c>
      <c r="V380" s="8" t="n">
        <v>0</v>
      </c>
      <c r="W380" s="8" t="n">
        <v>0</v>
      </c>
      <c r="X380" s="8" t="n">
        <v>0</v>
      </c>
      <c r="Y380" s="8" t="n">
        <v>0</v>
      </c>
      <c r="Z380" s="8" t="n">
        <v>0</v>
      </c>
      <c r="AA380" s="8" t="n">
        <v>0</v>
      </c>
      <c r="AB380" s="8" t="n">
        <v>0</v>
      </c>
      <c r="AC380" s="8" t="n">
        <v>0</v>
      </c>
      <c r="AD380" s="8" t="n">
        <v>0</v>
      </c>
    </row>
    <row r="381" customFormat="false" ht="15" hidden="false" customHeight="false" outlineLevel="0" collapsed="false">
      <c r="A381" s="38" t="s">
        <v>2200</v>
      </c>
      <c r="B381" s="8" t="s">
        <v>2201</v>
      </c>
      <c r="C381" s="39" t="n">
        <v>6482</v>
      </c>
      <c r="D381" s="40" t="n">
        <v>46219</v>
      </c>
      <c r="E381" s="8" t="n">
        <v>67</v>
      </c>
      <c r="F381" s="39" t="n">
        <v>1013</v>
      </c>
      <c r="G381" s="39" t="n">
        <v>159</v>
      </c>
      <c r="H381" s="39" t="n">
        <v>13</v>
      </c>
      <c r="I381" s="39" t="n">
        <v>42</v>
      </c>
      <c r="J381" s="39" t="n">
        <v>14</v>
      </c>
      <c r="K381" s="8" t="s">
        <v>1240</v>
      </c>
      <c r="L381" s="41" t="s">
        <v>2202</v>
      </c>
      <c r="M381" s="42" t="n">
        <f aca="false">IFERROR(I381/F381,0)</f>
        <v>0.0414610069101678</v>
      </c>
      <c r="N381" s="42" t="n">
        <f aca="false">IFERROR(J381/F381,0)</f>
        <v>0.0138203356367226</v>
      </c>
      <c r="O381" s="8" t="n">
        <v>0</v>
      </c>
      <c r="P381" s="8" t="n">
        <v>0</v>
      </c>
      <c r="Q381" s="8" t="n">
        <v>0</v>
      </c>
      <c r="R381" s="8" t="n">
        <v>1</v>
      </c>
      <c r="S381" s="8" t="n">
        <v>0</v>
      </c>
      <c r="T381" s="8" t="n">
        <v>1</v>
      </c>
      <c r="U381" s="8" t="n">
        <v>0</v>
      </c>
      <c r="V381" s="8" t="n">
        <v>0</v>
      </c>
      <c r="W381" s="8" t="n">
        <v>1</v>
      </c>
      <c r="X381" s="8" t="n">
        <v>1</v>
      </c>
      <c r="Y381" s="8" t="n">
        <v>0</v>
      </c>
      <c r="Z381" s="8" t="n">
        <v>0</v>
      </c>
      <c r="AA381" s="8" t="n">
        <v>0</v>
      </c>
      <c r="AB381" s="8" t="n">
        <v>0</v>
      </c>
      <c r="AC381" s="8" t="n">
        <v>0</v>
      </c>
      <c r="AD381" s="8" t="n">
        <v>0</v>
      </c>
    </row>
    <row r="382" customFormat="false" ht="15" hidden="false" customHeight="false" outlineLevel="0" collapsed="false">
      <c r="A382" s="38" t="s">
        <v>2203</v>
      </c>
      <c r="B382" s="8" t="s">
        <v>2204</v>
      </c>
      <c r="C382" s="39" t="n">
        <v>1927</v>
      </c>
      <c r="D382" s="40" t="n">
        <v>46223</v>
      </c>
      <c r="E382" s="8" t="n">
        <v>25</v>
      </c>
      <c r="F382" s="39" t="n">
        <v>1009</v>
      </c>
      <c r="G382" s="39" t="n">
        <v>62</v>
      </c>
      <c r="H382" s="39" t="n">
        <v>1</v>
      </c>
      <c r="I382" s="39" t="n">
        <v>0</v>
      </c>
      <c r="J382" s="39" t="n">
        <v>2</v>
      </c>
      <c r="K382" s="8" t="s">
        <v>1240</v>
      </c>
      <c r="L382" s="41" t="s">
        <v>2205</v>
      </c>
      <c r="M382" s="42" t="n">
        <f aca="false">IFERROR(I382/F382,0)</f>
        <v>0</v>
      </c>
      <c r="N382" s="42" t="n">
        <f aca="false">IFERROR(J382/F382,0)</f>
        <v>0.00198216055500496</v>
      </c>
      <c r="O382" s="8" t="n">
        <v>0</v>
      </c>
      <c r="P382" s="8" t="n">
        <v>0</v>
      </c>
      <c r="Q382" s="8" t="n">
        <v>0</v>
      </c>
      <c r="R382" s="8" t="n">
        <v>0</v>
      </c>
      <c r="S382" s="8" t="n">
        <v>0</v>
      </c>
      <c r="T382" s="8" t="n">
        <v>0</v>
      </c>
      <c r="U382" s="8" t="n">
        <v>1</v>
      </c>
      <c r="V382" s="8" t="n">
        <v>0</v>
      </c>
      <c r="W382" s="8" t="n">
        <v>0</v>
      </c>
      <c r="X382" s="8" t="n">
        <v>0</v>
      </c>
      <c r="Y382" s="8" t="n">
        <v>0</v>
      </c>
      <c r="Z382" s="8" t="n">
        <v>0</v>
      </c>
      <c r="AA382" s="8" t="n">
        <v>0</v>
      </c>
      <c r="AB382" s="8" t="n">
        <v>0</v>
      </c>
      <c r="AC382" s="8" t="n">
        <v>0</v>
      </c>
      <c r="AD382" s="8" t="n">
        <v>0</v>
      </c>
    </row>
    <row r="383" customFormat="false" ht="15" hidden="false" customHeight="false" outlineLevel="0" collapsed="false">
      <c r="A383" s="38" t="s">
        <v>2206</v>
      </c>
      <c r="B383" s="8" t="s">
        <v>2207</v>
      </c>
      <c r="C383" s="39" t="n">
        <v>227</v>
      </c>
      <c r="D383" s="40" t="n">
        <v>46310</v>
      </c>
      <c r="E383" s="8" t="n">
        <v>47</v>
      </c>
      <c r="F383" s="39" t="n">
        <v>999</v>
      </c>
      <c r="G383" s="39" t="n">
        <v>10</v>
      </c>
      <c r="H383" s="39" t="n">
        <v>0</v>
      </c>
      <c r="I383" s="39" t="n">
        <v>2</v>
      </c>
      <c r="J383" s="39" t="n">
        <v>0</v>
      </c>
      <c r="K383" s="8" t="s">
        <v>1243</v>
      </c>
      <c r="L383" s="41" t="s">
        <v>2208</v>
      </c>
      <c r="M383" s="42" t="n">
        <f aca="false">IFERROR(I383/F383,0)</f>
        <v>0.002002002002002</v>
      </c>
      <c r="N383" s="42" t="n">
        <f aca="false">IFERROR(J383/F383,0)</f>
        <v>0</v>
      </c>
      <c r="O383" s="8" t="n">
        <v>0</v>
      </c>
      <c r="P383" s="8" t="n">
        <v>0</v>
      </c>
      <c r="Q383" s="8" t="n">
        <v>1</v>
      </c>
      <c r="R383" s="8" t="n">
        <v>0</v>
      </c>
      <c r="S383" s="8" t="n">
        <v>0</v>
      </c>
      <c r="T383" s="8" t="n">
        <v>1</v>
      </c>
      <c r="U383" s="8" t="n">
        <v>1</v>
      </c>
      <c r="V383" s="8" t="n">
        <v>0</v>
      </c>
      <c r="W383" s="8" t="n">
        <v>0</v>
      </c>
      <c r="X383" s="8" t="n">
        <v>0</v>
      </c>
      <c r="Y383" s="8" t="n">
        <v>0</v>
      </c>
      <c r="Z383" s="8" t="n">
        <v>0</v>
      </c>
      <c r="AA383" s="8" t="n">
        <v>0</v>
      </c>
      <c r="AB383" s="8" t="n">
        <v>0</v>
      </c>
      <c r="AC383" s="8" t="n">
        <v>0</v>
      </c>
      <c r="AD383" s="8" t="n">
        <v>0</v>
      </c>
    </row>
    <row r="384" customFormat="false" ht="15" hidden="false" customHeight="false" outlineLevel="0" collapsed="false">
      <c r="A384" s="38" t="s">
        <v>2209</v>
      </c>
      <c r="B384" s="8" t="s">
        <v>2210</v>
      </c>
      <c r="C384" s="39" t="n">
        <v>905</v>
      </c>
      <c r="D384" s="40" t="n">
        <v>46229</v>
      </c>
      <c r="E384" s="8" t="n">
        <v>31</v>
      </c>
      <c r="F384" s="39" t="n">
        <v>994</v>
      </c>
      <c r="G384" s="39" t="n">
        <v>20</v>
      </c>
      <c r="H384" s="39" t="n">
        <v>2</v>
      </c>
      <c r="I384" s="39" t="n">
        <v>2</v>
      </c>
      <c r="J384" s="39" t="n">
        <v>4</v>
      </c>
      <c r="K384" s="8" t="s">
        <v>1243</v>
      </c>
      <c r="L384" s="41" t="s">
        <v>2211</v>
      </c>
      <c r="M384" s="42" t="n">
        <f aca="false">IFERROR(I384/F384,0)</f>
        <v>0.00201207243460765</v>
      </c>
      <c r="N384" s="42" t="n">
        <f aca="false">IFERROR(J384/F384,0)</f>
        <v>0.00402414486921529</v>
      </c>
      <c r="O384" s="8" t="n">
        <v>0</v>
      </c>
      <c r="P384" s="8" t="n">
        <v>0</v>
      </c>
      <c r="Q384" s="8" t="n">
        <v>1</v>
      </c>
      <c r="R384" s="8" t="n">
        <v>0</v>
      </c>
      <c r="S384" s="8" t="n">
        <v>1</v>
      </c>
      <c r="T384" s="8" t="n">
        <v>0</v>
      </c>
      <c r="U384" s="8" t="n">
        <v>0</v>
      </c>
      <c r="V384" s="8" t="n">
        <v>0</v>
      </c>
      <c r="W384" s="8" t="n">
        <v>0</v>
      </c>
      <c r="X384" s="8" t="n">
        <v>0</v>
      </c>
      <c r="Y384" s="8" t="n">
        <v>0</v>
      </c>
      <c r="Z384" s="8" t="n">
        <v>0</v>
      </c>
      <c r="AA384" s="8" t="n">
        <v>0</v>
      </c>
      <c r="AB384" s="8" t="n">
        <v>0</v>
      </c>
      <c r="AC384" s="8" t="n">
        <v>0</v>
      </c>
      <c r="AD384" s="8" t="n">
        <v>0</v>
      </c>
    </row>
    <row r="385" customFormat="false" ht="15" hidden="false" customHeight="false" outlineLevel="0" collapsed="false">
      <c r="A385" s="38" t="s">
        <v>2212</v>
      </c>
      <c r="B385" s="8" t="s">
        <v>2213</v>
      </c>
      <c r="C385" s="39" t="n">
        <v>56</v>
      </c>
      <c r="D385" s="40" t="n">
        <v>46129</v>
      </c>
      <c r="E385" s="8" t="n">
        <v>38</v>
      </c>
      <c r="F385" s="39" t="n">
        <v>987</v>
      </c>
      <c r="G385" s="39" t="n">
        <v>13</v>
      </c>
      <c r="H385" s="39" t="n">
        <v>0</v>
      </c>
      <c r="I385" s="39" t="n">
        <v>1</v>
      </c>
      <c r="J385" s="39" t="n">
        <v>1</v>
      </c>
      <c r="K385" s="8" t="s">
        <v>1243</v>
      </c>
      <c r="L385" s="41" t="s">
        <v>2214</v>
      </c>
      <c r="M385" s="42" t="n">
        <f aca="false">IFERROR(I385/F385,0)</f>
        <v>0.00101317122593718</v>
      </c>
      <c r="N385" s="42" t="n">
        <f aca="false">IFERROR(J385/F385,0)</f>
        <v>0.00101317122593718</v>
      </c>
      <c r="O385" s="8" t="n">
        <v>1</v>
      </c>
      <c r="P385" s="8" t="n">
        <v>0</v>
      </c>
      <c r="Q385" s="8" t="n">
        <v>0</v>
      </c>
      <c r="R385" s="8" t="n">
        <v>0</v>
      </c>
      <c r="S385" s="8" t="n">
        <v>0</v>
      </c>
      <c r="T385" s="8" t="n">
        <v>0</v>
      </c>
      <c r="U385" s="8" t="n">
        <v>0</v>
      </c>
      <c r="V385" s="8" t="n">
        <v>0</v>
      </c>
      <c r="W385" s="8" t="n">
        <v>0</v>
      </c>
      <c r="X385" s="8" t="n">
        <v>0</v>
      </c>
      <c r="Y385" s="8" t="n">
        <v>0</v>
      </c>
      <c r="Z385" s="8" t="n">
        <v>0</v>
      </c>
      <c r="AA385" s="8" t="n">
        <v>0</v>
      </c>
      <c r="AB385" s="8" t="n">
        <v>1</v>
      </c>
      <c r="AC385" s="8" t="n">
        <v>0</v>
      </c>
      <c r="AD385" s="8" t="n">
        <v>0</v>
      </c>
    </row>
    <row r="386" customFormat="false" ht="15" hidden="false" customHeight="false" outlineLevel="0" collapsed="false">
      <c r="A386" s="38" t="s">
        <v>2215</v>
      </c>
      <c r="B386" s="8" t="s">
        <v>2216</v>
      </c>
      <c r="C386" s="39" t="n">
        <v>23</v>
      </c>
      <c r="D386" s="40" t="n">
        <v>46311</v>
      </c>
      <c r="E386" s="8" t="n">
        <v>53</v>
      </c>
      <c r="F386" s="39" t="n">
        <v>980</v>
      </c>
      <c r="G386" s="39" t="n">
        <v>22</v>
      </c>
      <c r="H386" s="39" t="n">
        <v>4</v>
      </c>
      <c r="I386" s="39" t="n">
        <v>1</v>
      </c>
      <c r="J386" s="39" t="n">
        <v>3</v>
      </c>
      <c r="K386" s="8" t="s">
        <v>1243</v>
      </c>
      <c r="L386" s="41" t="s">
        <v>2217</v>
      </c>
      <c r="M386" s="42" t="n">
        <f aca="false">IFERROR(I386/F386,0)</f>
        <v>0.00102040816326531</v>
      </c>
      <c r="N386" s="42" t="n">
        <f aca="false">IFERROR(J386/F386,0)</f>
        <v>0.00306122448979592</v>
      </c>
      <c r="O386" s="8" t="n">
        <v>0</v>
      </c>
      <c r="P386" s="8" t="n">
        <v>0</v>
      </c>
      <c r="Q386" s="8" t="n">
        <v>1</v>
      </c>
      <c r="R386" s="8" t="n">
        <v>0</v>
      </c>
      <c r="S386" s="8" t="n">
        <v>0</v>
      </c>
      <c r="T386" s="8" t="n">
        <v>0</v>
      </c>
      <c r="U386" s="8" t="n">
        <v>0</v>
      </c>
      <c r="V386" s="8" t="n">
        <v>0</v>
      </c>
      <c r="W386" s="8" t="n">
        <v>0</v>
      </c>
      <c r="X386" s="8" t="n">
        <v>0</v>
      </c>
      <c r="Y386" s="8" t="n">
        <v>0</v>
      </c>
      <c r="Z386" s="8" t="n">
        <v>0</v>
      </c>
      <c r="AA386" s="8" t="n">
        <v>0</v>
      </c>
      <c r="AB386" s="8" t="n">
        <v>0</v>
      </c>
      <c r="AC386" s="8" t="n">
        <v>0</v>
      </c>
      <c r="AD386" s="8" t="n">
        <v>0</v>
      </c>
    </row>
    <row r="387" customFormat="false" ht="15" hidden="false" customHeight="false" outlineLevel="0" collapsed="false">
      <c r="A387" s="38" t="s">
        <v>2218</v>
      </c>
      <c r="B387" s="8" t="s">
        <v>2123</v>
      </c>
      <c r="C387" s="39" t="n">
        <v>226</v>
      </c>
      <c r="D387" s="40" t="n">
        <v>46170</v>
      </c>
      <c r="E387" s="8" t="n">
        <v>28</v>
      </c>
      <c r="F387" s="39" t="n">
        <v>979</v>
      </c>
      <c r="G387" s="39" t="n">
        <v>22</v>
      </c>
      <c r="H387" s="39" t="n">
        <v>2</v>
      </c>
      <c r="I387" s="39" t="n">
        <v>4</v>
      </c>
      <c r="J387" s="39" t="n">
        <v>7</v>
      </c>
      <c r="K387" s="8" t="s">
        <v>1243</v>
      </c>
      <c r="L387" s="41" t="s">
        <v>2219</v>
      </c>
      <c r="M387" s="42" t="n">
        <f aca="false">IFERROR(I387/F387,0)</f>
        <v>0.00408580183861083</v>
      </c>
      <c r="N387" s="42" t="n">
        <f aca="false">IFERROR(J387/F387,0)</f>
        <v>0.00715015321756895</v>
      </c>
      <c r="O387" s="8" t="n">
        <v>0</v>
      </c>
      <c r="P387" s="8" t="n">
        <v>0</v>
      </c>
      <c r="Q387" s="8" t="n">
        <v>0</v>
      </c>
      <c r="R387" s="8" t="n">
        <v>0</v>
      </c>
      <c r="S387" s="8" t="n">
        <v>0</v>
      </c>
      <c r="T387" s="8" t="n">
        <v>0</v>
      </c>
      <c r="U387" s="8" t="n">
        <v>0</v>
      </c>
      <c r="V387" s="8" t="n">
        <v>0</v>
      </c>
      <c r="W387" s="8" t="n">
        <v>0</v>
      </c>
      <c r="X387" s="8" t="n">
        <v>0</v>
      </c>
      <c r="Y387" s="8" t="n">
        <v>0</v>
      </c>
      <c r="Z387" s="8" t="n">
        <v>0</v>
      </c>
      <c r="AA387" s="8" t="n">
        <v>0</v>
      </c>
      <c r="AB387" s="8" t="n">
        <v>1</v>
      </c>
      <c r="AC387" s="8" t="n">
        <v>0</v>
      </c>
      <c r="AD387" s="8" t="n">
        <v>0</v>
      </c>
    </row>
    <row r="388" customFormat="false" ht="15" hidden="false" customHeight="false" outlineLevel="0" collapsed="false">
      <c r="A388" s="38" t="s">
        <v>2220</v>
      </c>
      <c r="B388" s="8" t="s">
        <v>2221</v>
      </c>
      <c r="C388" s="39" t="n">
        <v>156</v>
      </c>
      <c r="D388" s="40" t="n">
        <v>46078</v>
      </c>
      <c r="E388" s="8" t="n">
        <v>15</v>
      </c>
      <c r="F388" s="39" t="n">
        <v>974</v>
      </c>
      <c r="G388" s="39" t="n">
        <v>19</v>
      </c>
      <c r="H388" s="39" t="n">
        <v>0</v>
      </c>
      <c r="I388" s="39" t="n">
        <v>2</v>
      </c>
      <c r="J388" s="39" t="n">
        <v>1</v>
      </c>
      <c r="K388" s="8" t="s">
        <v>1243</v>
      </c>
      <c r="L388" s="41" t="s">
        <v>2222</v>
      </c>
      <c r="M388" s="42" t="n">
        <f aca="false">IFERROR(I388/F388,0)</f>
        <v>0.00205338809034908</v>
      </c>
      <c r="N388" s="42" t="n">
        <f aca="false">IFERROR(J388/F388,0)</f>
        <v>0.00102669404517454</v>
      </c>
      <c r="O388" s="8" t="n">
        <v>0</v>
      </c>
      <c r="P388" s="8" t="n">
        <v>0</v>
      </c>
      <c r="Q388" s="8" t="n">
        <v>1</v>
      </c>
      <c r="R388" s="8" t="n">
        <v>0</v>
      </c>
      <c r="S388" s="8" t="n">
        <v>0</v>
      </c>
      <c r="T388" s="8" t="n">
        <v>0</v>
      </c>
      <c r="U388" s="8" t="n">
        <v>0</v>
      </c>
      <c r="V388" s="8" t="n">
        <v>0</v>
      </c>
      <c r="W388" s="8" t="n">
        <v>0</v>
      </c>
      <c r="X388" s="8" t="n">
        <v>0</v>
      </c>
      <c r="Y388" s="8" t="n">
        <v>0</v>
      </c>
      <c r="Z388" s="8" t="n">
        <v>0</v>
      </c>
      <c r="AA388" s="8" t="n">
        <v>0</v>
      </c>
      <c r="AB388" s="8" t="n">
        <v>0</v>
      </c>
      <c r="AC388" s="8" t="n">
        <v>0</v>
      </c>
      <c r="AD388" s="8" t="n">
        <v>0</v>
      </c>
    </row>
    <row r="389" customFormat="false" ht="15" hidden="false" customHeight="false" outlineLevel="0" collapsed="false">
      <c r="A389" s="38" t="s">
        <v>2223</v>
      </c>
      <c r="B389" s="8" t="s">
        <v>2224</v>
      </c>
      <c r="C389" s="39" t="n">
        <v>107</v>
      </c>
      <c r="D389" s="40" t="n">
        <v>46127</v>
      </c>
      <c r="E389" s="8" t="n">
        <v>18</v>
      </c>
      <c r="F389" s="39" t="n">
        <v>972</v>
      </c>
      <c r="G389" s="39" t="n">
        <v>40</v>
      </c>
      <c r="H389" s="39" t="n">
        <v>0</v>
      </c>
      <c r="I389" s="39" t="n">
        <v>0</v>
      </c>
      <c r="J389" s="39" t="n">
        <v>6</v>
      </c>
      <c r="K389" s="8" t="s">
        <v>1240</v>
      </c>
      <c r="L389" s="41" t="s">
        <v>2225</v>
      </c>
      <c r="M389" s="42" t="n">
        <f aca="false">IFERROR(I389/F389,0)</f>
        <v>0</v>
      </c>
      <c r="N389" s="42" t="n">
        <f aca="false">IFERROR(J389/F389,0)</f>
        <v>0.00617283950617284</v>
      </c>
      <c r="O389" s="8" t="n">
        <v>0</v>
      </c>
      <c r="P389" s="8" t="n">
        <v>0</v>
      </c>
      <c r="Q389" s="8" t="n">
        <v>0</v>
      </c>
      <c r="R389" s="8" t="n">
        <v>0</v>
      </c>
      <c r="S389" s="8" t="n">
        <v>0</v>
      </c>
      <c r="T389" s="8" t="n">
        <v>1</v>
      </c>
      <c r="U389" s="8" t="n">
        <v>0</v>
      </c>
      <c r="V389" s="8" t="n">
        <v>0</v>
      </c>
      <c r="W389" s="8" t="n">
        <v>0</v>
      </c>
      <c r="X389" s="8" t="n">
        <v>1</v>
      </c>
      <c r="Y389" s="8" t="n">
        <v>0</v>
      </c>
      <c r="Z389" s="8" t="n">
        <v>0</v>
      </c>
      <c r="AA389" s="8" t="n">
        <v>1</v>
      </c>
      <c r="AB389" s="8" t="n">
        <v>0</v>
      </c>
      <c r="AC389" s="8" t="n">
        <v>0</v>
      </c>
      <c r="AD389" s="8" t="n">
        <v>0</v>
      </c>
    </row>
    <row r="390" customFormat="false" ht="15" hidden="false" customHeight="false" outlineLevel="0" collapsed="false">
      <c r="A390" s="38" t="s">
        <v>2226</v>
      </c>
      <c r="B390" s="8" t="s">
        <v>2227</v>
      </c>
      <c r="C390" s="39" t="n">
        <v>18500</v>
      </c>
      <c r="D390" s="40" t="n">
        <v>46314</v>
      </c>
      <c r="E390" s="8" t="n">
        <v>83</v>
      </c>
      <c r="F390" s="39" t="n">
        <v>971</v>
      </c>
      <c r="G390" s="39" t="n">
        <v>195</v>
      </c>
      <c r="H390" s="39" t="n">
        <v>20</v>
      </c>
      <c r="I390" s="39" t="n">
        <v>1</v>
      </c>
      <c r="J390" s="39" t="n">
        <v>32</v>
      </c>
      <c r="K390" s="8" t="s">
        <v>1240</v>
      </c>
      <c r="L390" s="41" t="s">
        <v>2228</v>
      </c>
      <c r="M390" s="42" t="n">
        <f aca="false">IFERROR(I390/F390,0)</f>
        <v>0.00102986611740474</v>
      </c>
      <c r="N390" s="42" t="n">
        <f aca="false">IFERROR(J390/F390,0)</f>
        <v>0.0329557157569516</v>
      </c>
      <c r="O390" s="8" t="n">
        <v>0</v>
      </c>
      <c r="P390" s="8" t="n">
        <v>0</v>
      </c>
      <c r="Q390" s="8" t="n">
        <v>0</v>
      </c>
      <c r="R390" s="8" t="n">
        <v>0</v>
      </c>
      <c r="S390" s="8" t="n">
        <v>0</v>
      </c>
      <c r="T390" s="8" t="n">
        <v>0</v>
      </c>
      <c r="U390" s="8" t="n">
        <v>0</v>
      </c>
      <c r="V390" s="8" t="n">
        <v>0</v>
      </c>
      <c r="W390" s="8" t="n">
        <v>0</v>
      </c>
      <c r="X390" s="8" t="n">
        <v>0</v>
      </c>
      <c r="Y390" s="8" t="n">
        <v>0</v>
      </c>
      <c r="Z390" s="8" t="n">
        <v>0</v>
      </c>
      <c r="AA390" s="8" t="n">
        <v>0</v>
      </c>
      <c r="AB390" s="8" t="n">
        <v>0</v>
      </c>
      <c r="AC390" s="8" t="n">
        <v>0</v>
      </c>
      <c r="AD390" s="8" t="n">
        <v>0</v>
      </c>
    </row>
    <row r="391" customFormat="false" ht="15" hidden="false" customHeight="false" outlineLevel="0" collapsed="false">
      <c r="A391" s="38" t="s">
        <v>2229</v>
      </c>
      <c r="B391" s="8" t="s">
        <v>1452</v>
      </c>
      <c r="C391" s="39" t="n">
        <v>10700</v>
      </c>
      <c r="D391" s="40" t="n">
        <v>46309</v>
      </c>
      <c r="E391" s="8" t="n">
        <v>21</v>
      </c>
      <c r="F391" s="39" t="n">
        <v>961</v>
      </c>
      <c r="G391" s="39" t="n">
        <v>58</v>
      </c>
      <c r="H391" s="39" t="n">
        <v>5</v>
      </c>
      <c r="I391" s="39" t="n">
        <v>2</v>
      </c>
      <c r="J391" s="39" t="n">
        <v>7</v>
      </c>
      <c r="K391" s="8" t="s">
        <v>1240</v>
      </c>
      <c r="L391" s="41" t="s">
        <v>2230</v>
      </c>
      <c r="M391" s="42" t="n">
        <f aca="false">IFERROR(I391/F391,0)</f>
        <v>0.00208116545265349</v>
      </c>
      <c r="N391" s="42" t="n">
        <f aca="false">IFERROR(J391/F391,0)</f>
        <v>0.0072840790842872</v>
      </c>
      <c r="O391" s="8" t="n">
        <v>0</v>
      </c>
      <c r="P391" s="8" t="n">
        <v>0</v>
      </c>
      <c r="Q391" s="8" t="n">
        <v>0</v>
      </c>
      <c r="R391" s="8" t="n">
        <v>0</v>
      </c>
      <c r="S391" s="8" t="n">
        <v>0</v>
      </c>
      <c r="T391" s="8" t="n">
        <v>0</v>
      </c>
      <c r="U391" s="8" t="n">
        <v>0</v>
      </c>
      <c r="V391" s="8" t="n">
        <v>0</v>
      </c>
      <c r="W391" s="8" t="n">
        <v>1</v>
      </c>
      <c r="X391" s="8" t="n">
        <v>0</v>
      </c>
      <c r="Y391" s="8" t="n">
        <v>0</v>
      </c>
      <c r="Z391" s="8" t="n">
        <v>0</v>
      </c>
      <c r="AA391" s="8" t="n">
        <v>0</v>
      </c>
      <c r="AB391" s="8" t="n">
        <v>0</v>
      </c>
      <c r="AC391" s="8" t="n">
        <v>0</v>
      </c>
      <c r="AD391" s="8" t="n">
        <v>1</v>
      </c>
    </row>
    <row r="392" customFormat="false" ht="15" hidden="false" customHeight="false" outlineLevel="0" collapsed="false">
      <c r="A392" s="38" t="s">
        <v>2231</v>
      </c>
      <c r="B392" s="8" t="s">
        <v>2083</v>
      </c>
      <c r="C392" s="39" t="n">
        <v>1343</v>
      </c>
      <c r="D392" s="40" t="n">
        <v>46070</v>
      </c>
      <c r="E392" s="8" t="n">
        <v>59</v>
      </c>
      <c r="F392" s="39" t="n">
        <v>949</v>
      </c>
      <c r="G392" s="39" t="n">
        <v>47</v>
      </c>
      <c r="H392" s="39" t="n">
        <v>2</v>
      </c>
      <c r="I392" s="39" t="n">
        <v>1</v>
      </c>
      <c r="J392" s="39" t="n">
        <v>0</v>
      </c>
      <c r="K392" s="8" t="s">
        <v>1240</v>
      </c>
      <c r="L392" s="41" t="s">
        <v>2232</v>
      </c>
      <c r="M392" s="42" t="n">
        <f aca="false">IFERROR(I392/F392,0)</f>
        <v>0.00105374077976818</v>
      </c>
      <c r="N392" s="42" t="n">
        <f aca="false">IFERROR(J392/F392,0)</f>
        <v>0</v>
      </c>
      <c r="O392" s="8" t="n">
        <v>0</v>
      </c>
      <c r="P392" s="8" t="n">
        <v>1</v>
      </c>
      <c r="Q392" s="8" t="n">
        <v>0</v>
      </c>
      <c r="R392" s="8" t="n">
        <v>0</v>
      </c>
      <c r="S392" s="8" t="n">
        <v>0</v>
      </c>
      <c r="T392" s="8" t="n">
        <v>1</v>
      </c>
      <c r="U392" s="8" t="n">
        <v>0</v>
      </c>
      <c r="V392" s="8" t="n">
        <v>0</v>
      </c>
      <c r="W392" s="8" t="n">
        <v>0</v>
      </c>
      <c r="X392" s="8" t="n">
        <v>0</v>
      </c>
      <c r="Y392" s="8" t="n">
        <v>0</v>
      </c>
      <c r="Z392" s="8" t="n">
        <v>0</v>
      </c>
      <c r="AA392" s="8" t="n">
        <v>0</v>
      </c>
      <c r="AB392" s="8" t="n">
        <v>0</v>
      </c>
      <c r="AC392" s="8" t="n">
        <v>0</v>
      </c>
      <c r="AD392" s="8" t="n">
        <v>0</v>
      </c>
    </row>
    <row r="393" customFormat="false" ht="15" hidden="false" customHeight="false" outlineLevel="0" collapsed="false">
      <c r="A393" s="38" t="s">
        <v>2233</v>
      </c>
      <c r="B393" s="8" t="s">
        <v>2234</v>
      </c>
      <c r="C393" s="39" t="n">
        <v>3668</v>
      </c>
      <c r="D393" s="40" t="n">
        <v>45981</v>
      </c>
      <c r="E393" s="8" t="n">
        <v>17</v>
      </c>
      <c r="F393" s="39" t="n">
        <v>947</v>
      </c>
      <c r="G393" s="39" t="n">
        <v>23</v>
      </c>
      <c r="H393" s="39" t="n">
        <v>0</v>
      </c>
      <c r="I393" s="39" t="n">
        <v>1</v>
      </c>
      <c r="J393" s="39" t="n">
        <v>1</v>
      </c>
      <c r="K393" s="8" t="s">
        <v>1240</v>
      </c>
      <c r="L393" s="41" t="s">
        <v>2235</v>
      </c>
      <c r="M393" s="42" t="n">
        <f aca="false">IFERROR(I393/F393,0)</f>
        <v>0.00105596620908131</v>
      </c>
      <c r="N393" s="42" t="n">
        <f aca="false">IFERROR(J393/F393,0)</f>
        <v>0.00105596620908131</v>
      </c>
      <c r="O393" s="8" t="n">
        <v>0</v>
      </c>
      <c r="P393" s="8" t="n">
        <v>0</v>
      </c>
      <c r="Q393" s="8" t="n">
        <v>0</v>
      </c>
      <c r="R393" s="8" t="n">
        <v>0</v>
      </c>
      <c r="S393" s="8" t="n">
        <v>0</v>
      </c>
      <c r="T393" s="8" t="n">
        <v>1</v>
      </c>
      <c r="U393" s="8" t="n">
        <v>0</v>
      </c>
      <c r="V393" s="8" t="n">
        <v>0</v>
      </c>
      <c r="W393" s="8" t="n">
        <v>0</v>
      </c>
      <c r="X393" s="8" t="n">
        <v>0</v>
      </c>
      <c r="Y393" s="8" t="n">
        <v>0</v>
      </c>
      <c r="Z393" s="8" t="n">
        <v>0</v>
      </c>
      <c r="AA393" s="8" t="n">
        <v>0</v>
      </c>
      <c r="AB393" s="8" t="n">
        <v>0</v>
      </c>
      <c r="AC393" s="8" t="n">
        <v>0</v>
      </c>
      <c r="AD393" s="8" t="n">
        <v>0</v>
      </c>
    </row>
    <row r="394" customFormat="false" ht="15" hidden="false" customHeight="false" outlineLevel="0" collapsed="false">
      <c r="A394" s="38" t="s">
        <v>2236</v>
      </c>
      <c r="B394" s="8" t="s">
        <v>2237</v>
      </c>
      <c r="C394" s="39" t="n">
        <v>123</v>
      </c>
      <c r="D394" s="40" t="n">
        <v>46100</v>
      </c>
      <c r="E394" s="8" t="n">
        <v>29</v>
      </c>
      <c r="F394" s="39" t="n">
        <v>896</v>
      </c>
      <c r="G394" s="39" t="n">
        <v>41</v>
      </c>
      <c r="H394" s="39" t="n">
        <v>4</v>
      </c>
      <c r="I394" s="39" t="n">
        <v>1</v>
      </c>
      <c r="J394" s="39" t="n">
        <v>6</v>
      </c>
      <c r="K394" s="8" t="s">
        <v>1243</v>
      </c>
      <c r="L394" s="41" t="s">
        <v>2238</v>
      </c>
      <c r="M394" s="42" t="n">
        <f aca="false">IFERROR(I394/F394,0)</f>
        <v>0.00111607142857143</v>
      </c>
      <c r="N394" s="42" t="n">
        <f aca="false">IFERROR(J394/F394,0)</f>
        <v>0.00669642857142857</v>
      </c>
      <c r="O394" s="8" t="n">
        <v>0</v>
      </c>
      <c r="P394" s="8" t="n">
        <v>0</v>
      </c>
      <c r="Q394" s="8" t="n">
        <v>0</v>
      </c>
      <c r="R394" s="8" t="n">
        <v>0</v>
      </c>
      <c r="S394" s="8" t="n">
        <v>0</v>
      </c>
      <c r="T394" s="8" t="n">
        <v>0</v>
      </c>
      <c r="U394" s="8" t="n">
        <v>0</v>
      </c>
      <c r="V394" s="8" t="n">
        <v>0</v>
      </c>
      <c r="W394" s="8" t="n">
        <v>0</v>
      </c>
      <c r="X394" s="8" t="n">
        <v>0</v>
      </c>
      <c r="Y394" s="8" t="n">
        <v>0</v>
      </c>
      <c r="Z394" s="8" t="n">
        <v>0</v>
      </c>
      <c r="AA394" s="8" t="n">
        <v>0</v>
      </c>
      <c r="AB394" s="8" t="n">
        <v>1</v>
      </c>
      <c r="AC394" s="8" t="n">
        <v>0</v>
      </c>
      <c r="AD394" s="8" t="n">
        <v>0</v>
      </c>
    </row>
    <row r="395" customFormat="false" ht="15" hidden="false" customHeight="false" outlineLevel="0" collapsed="false">
      <c r="A395" s="38" t="s">
        <v>2239</v>
      </c>
      <c r="B395" s="8" t="s">
        <v>2240</v>
      </c>
      <c r="C395" s="39" t="n">
        <v>292</v>
      </c>
      <c r="D395" s="40" t="n">
        <v>46316</v>
      </c>
      <c r="E395" s="8" t="n">
        <v>13</v>
      </c>
      <c r="F395" s="39" t="n">
        <v>894</v>
      </c>
      <c r="G395" s="39" t="n">
        <v>62</v>
      </c>
      <c r="H395" s="39" t="n">
        <v>7</v>
      </c>
      <c r="I395" s="39" t="n">
        <v>0</v>
      </c>
      <c r="J395" s="39" t="n">
        <v>7</v>
      </c>
      <c r="K395" s="8" t="s">
        <v>1240</v>
      </c>
      <c r="L395" s="41" t="s">
        <v>2241</v>
      </c>
      <c r="M395" s="42" t="n">
        <f aca="false">IFERROR(I395/F395,0)</f>
        <v>0</v>
      </c>
      <c r="N395" s="42" t="n">
        <f aca="false">IFERROR(J395/F395,0)</f>
        <v>0.00782997762863535</v>
      </c>
      <c r="O395" s="8" t="n">
        <v>0</v>
      </c>
      <c r="P395" s="8" t="n">
        <v>0</v>
      </c>
      <c r="Q395" s="8" t="n">
        <v>0</v>
      </c>
      <c r="R395" s="8" t="n">
        <v>0</v>
      </c>
      <c r="S395" s="8" t="n">
        <v>0</v>
      </c>
      <c r="T395" s="8" t="n">
        <v>0</v>
      </c>
      <c r="U395" s="8" t="n">
        <v>0</v>
      </c>
      <c r="V395" s="8" t="n">
        <v>0</v>
      </c>
      <c r="W395" s="8" t="n">
        <v>1</v>
      </c>
      <c r="X395" s="8" t="n">
        <v>1</v>
      </c>
      <c r="Y395" s="8" t="n">
        <v>0</v>
      </c>
      <c r="Z395" s="8" t="n">
        <v>0</v>
      </c>
      <c r="AA395" s="8" t="n">
        <v>0</v>
      </c>
      <c r="AB395" s="8" t="n">
        <v>0</v>
      </c>
      <c r="AC395" s="8" t="n">
        <v>0</v>
      </c>
      <c r="AD395" s="8" t="n">
        <v>0</v>
      </c>
    </row>
    <row r="396" customFormat="false" ht="15" hidden="false" customHeight="false" outlineLevel="0" collapsed="false">
      <c r="A396" s="38" t="s">
        <v>2242</v>
      </c>
      <c r="B396" s="8" t="s">
        <v>2243</v>
      </c>
      <c r="C396" s="39" t="n">
        <v>43</v>
      </c>
      <c r="D396" s="40" t="n">
        <v>46308</v>
      </c>
      <c r="E396" s="8" t="n">
        <v>20</v>
      </c>
      <c r="F396" s="39" t="n">
        <v>888</v>
      </c>
      <c r="G396" s="39" t="n">
        <v>23</v>
      </c>
      <c r="H396" s="39" t="n">
        <v>0</v>
      </c>
      <c r="I396" s="39" t="n">
        <v>0</v>
      </c>
      <c r="J396" s="39" t="n">
        <v>1</v>
      </c>
      <c r="K396" s="8" t="s">
        <v>1240</v>
      </c>
      <c r="L396" s="41" t="s">
        <v>2244</v>
      </c>
      <c r="M396" s="42" t="n">
        <f aca="false">IFERROR(I396/F396,0)</f>
        <v>0</v>
      </c>
      <c r="N396" s="42" t="n">
        <f aca="false">IFERROR(J396/F396,0)</f>
        <v>0.00112612612612613</v>
      </c>
      <c r="O396" s="8" t="n">
        <v>1</v>
      </c>
      <c r="P396" s="8" t="n">
        <v>1</v>
      </c>
      <c r="Q396" s="8" t="n">
        <v>0</v>
      </c>
      <c r="R396" s="8" t="n">
        <v>0</v>
      </c>
      <c r="S396" s="8" t="n">
        <v>0</v>
      </c>
      <c r="T396" s="8" t="n">
        <v>0</v>
      </c>
      <c r="U396" s="8" t="n">
        <v>0</v>
      </c>
      <c r="V396" s="8" t="n">
        <v>1</v>
      </c>
      <c r="W396" s="8" t="n">
        <v>0</v>
      </c>
      <c r="X396" s="8" t="n">
        <v>0</v>
      </c>
      <c r="Y396" s="8" t="n">
        <v>0</v>
      </c>
      <c r="Z396" s="8" t="n">
        <v>0</v>
      </c>
      <c r="AA396" s="8" t="n">
        <v>0</v>
      </c>
      <c r="AB396" s="8" t="n">
        <v>0</v>
      </c>
      <c r="AC396" s="8" t="n">
        <v>0</v>
      </c>
      <c r="AD396" s="8" t="n">
        <v>0</v>
      </c>
    </row>
    <row r="397" customFormat="false" ht="15" hidden="false" customHeight="false" outlineLevel="0" collapsed="false">
      <c r="A397" s="38" t="s">
        <v>2245</v>
      </c>
      <c r="B397" s="8" t="s">
        <v>2246</v>
      </c>
      <c r="C397" s="39" t="n">
        <v>82</v>
      </c>
      <c r="D397" s="40" t="n">
        <v>46149</v>
      </c>
      <c r="E397" s="8" t="n">
        <v>49</v>
      </c>
      <c r="F397" s="39" t="n">
        <v>882</v>
      </c>
      <c r="G397" s="39" t="n">
        <v>5</v>
      </c>
      <c r="H397" s="39" t="n">
        <v>0</v>
      </c>
      <c r="I397" s="39" t="n">
        <v>0</v>
      </c>
      <c r="J397" s="39" t="n">
        <v>1</v>
      </c>
      <c r="K397" s="8" t="s">
        <v>1240</v>
      </c>
      <c r="L397" s="41" t="s">
        <v>2247</v>
      </c>
      <c r="M397" s="42" t="n">
        <f aca="false">IFERROR(I397/F397,0)</f>
        <v>0</v>
      </c>
      <c r="N397" s="42" t="n">
        <f aca="false">IFERROR(J397/F397,0)</f>
        <v>0.00113378684807256</v>
      </c>
      <c r="O397" s="8" t="n">
        <v>0</v>
      </c>
      <c r="P397" s="8" t="n">
        <v>0</v>
      </c>
      <c r="Q397" s="8" t="n">
        <v>1</v>
      </c>
      <c r="R397" s="8" t="n">
        <v>0</v>
      </c>
      <c r="S397" s="8" t="n">
        <v>0</v>
      </c>
      <c r="T397" s="8" t="n">
        <v>1</v>
      </c>
      <c r="U397" s="8" t="n">
        <v>0</v>
      </c>
      <c r="V397" s="8" t="n">
        <v>0</v>
      </c>
      <c r="W397" s="8" t="n">
        <v>1</v>
      </c>
      <c r="X397" s="8" t="n">
        <v>1</v>
      </c>
      <c r="Y397" s="8" t="n">
        <v>0</v>
      </c>
      <c r="Z397" s="8" t="n">
        <v>0</v>
      </c>
      <c r="AA397" s="8" t="n">
        <v>0</v>
      </c>
      <c r="AB397" s="8" t="n">
        <v>0</v>
      </c>
      <c r="AC397" s="8" t="n">
        <v>0</v>
      </c>
      <c r="AD397" s="8" t="n">
        <v>0</v>
      </c>
    </row>
    <row r="398" customFormat="false" ht="15" hidden="false" customHeight="false" outlineLevel="0" collapsed="false">
      <c r="A398" s="38" t="s">
        <v>2248</v>
      </c>
      <c r="B398" s="8" t="s">
        <v>2249</v>
      </c>
      <c r="C398" s="39" t="n">
        <v>1717</v>
      </c>
      <c r="D398" s="40" t="n">
        <v>46272</v>
      </c>
      <c r="E398" s="8" t="n">
        <v>23</v>
      </c>
      <c r="F398" s="39" t="n">
        <v>879</v>
      </c>
      <c r="G398" s="39" t="n">
        <v>39</v>
      </c>
      <c r="H398" s="39" t="n">
        <v>3</v>
      </c>
      <c r="I398" s="39" t="n">
        <v>4</v>
      </c>
      <c r="J398" s="39" t="n">
        <v>3</v>
      </c>
      <c r="K398" s="8" t="s">
        <v>1240</v>
      </c>
      <c r="L398" s="41" t="s">
        <v>2250</v>
      </c>
      <c r="M398" s="42" t="n">
        <f aca="false">IFERROR(I398/F398,0)</f>
        <v>0.00455062571103527</v>
      </c>
      <c r="N398" s="42" t="n">
        <f aca="false">IFERROR(J398/F398,0)</f>
        <v>0.00341296928327645</v>
      </c>
      <c r="O398" s="8" t="n">
        <v>0</v>
      </c>
      <c r="P398" s="8" t="n">
        <v>0</v>
      </c>
      <c r="Q398" s="8" t="n">
        <v>0</v>
      </c>
      <c r="R398" s="8" t="n">
        <v>0</v>
      </c>
      <c r="S398" s="8" t="n">
        <v>1</v>
      </c>
      <c r="T398" s="8" t="n">
        <v>1</v>
      </c>
      <c r="U398" s="8" t="n">
        <v>0</v>
      </c>
      <c r="V398" s="8" t="n">
        <v>0</v>
      </c>
      <c r="W398" s="8" t="n">
        <v>1</v>
      </c>
      <c r="X398" s="8" t="n">
        <v>0</v>
      </c>
      <c r="Y398" s="8" t="n">
        <v>0</v>
      </c>
      <c r="Z398" s="8" t="n">
        <v>0</v>
      </c>
      <c r="AA398" s="8" t="n">
        <v>0</v>
      </c>
      <c r="AB398" s="8" t="n">
        <v>0</v>
      </c>
      <c r="AC398" s="8" t="n">
        <v>0</v>
      </c>
      <c r="AD398" s="8" t="n">
        <v>0</v>
      </c>
    </row>
    <row r="399" customFormat="false" ht="15" hidden="false" customHeight="false" outlineLevel="0" collapsed="false">
      <c r="A399" s="38" t="s">
        <v>2251</v>
      </c>
      <c r="B399" s="8" t="s">
        <v>2252</v>
      </c>
      <c r="C399" s="39" t="n">
        <v>64</v>
      </c>
      <c r="D399" s="40" t="n">
        <v>46306</v>
      </c>
      <c r="E399" s="8" t="n">
        <v>75</v>
      </c>
      <c r="F399" s="39" t="n">
        <v>873</v>
      </c>
      <c r="G399" s="39" t="n">
        <v>13</v>
      </c>
      <c r="H399" s="39" t="n">
        <v>0</v>
      </c>
      <c r="I399" s="39" t="n">
        <v>1</v>
      </c>
      <c r="J399" s="39" t="n">
        <v>1</v>
      </c>
      <c r="K399" s="8" t="s">
        <v>1243</v>
      </c>
      <c r="L399" s="41" t="s">
        <v>2253</v>
      </c>
      <c r="M399" s="42" t="n">
        <f aca="false">IFERROR(I399/F399,0)</f>
        <v>0.0011454753722795</v>
      </c>
      <c r="N399" s="42" t="n">
        <f aca="false">IFERROR(J399/F399,0)</f>
        <v>0.0011454753722795</v>
      </c>
      <c r="O399" s="8" t="n">
        <v>0</v>
      </c>
      <c r="P399" s="8" t="n">
        <v>0</v>
      </c>
      <c r="Q399" s="8" t="n">
        <v>1</v>
      </c>
      <c r="R399" s="8" t="n">
        <v>0</v>
      </c>
      <c r="S399" s="8" t="n">
        <v>0</v>
      </c>
      <c r="T399" s="8" t="n">
        <v>0</v>
      </c>
      <c r="U399" s="8" t="n">
        <v>0</v>
      </c>
      <c r="V399" s="8" t="n">
        <v>0</v>
      </c>
      <c r="W399" s="8" t="n">
        <v>0</v>
      </c>
      <c r="X399" s="8" t="n">
        <v>0</v>
      </c>
      <c r="Y399" s="8" t="n">
        <v>0</v>
      </c>
      <c r="Z399" s="8" t="n">
        <v>0</v>
      </c>
      <c r="AA399" s="8" t="n">
        <v>0</v>
      </c>
      <c r="AB399" s="8" t="n">
        <v>0</v>
      </c>
      <c r="AC399" s="8" t="n">
        <v>0</v>
      </c>
      <c r="AD399" s="8" t="n">
        <v>0</v>
      </c>
    </row>
    <row r="400" customFormat="false" ht="15" hidden="false" customHeight="false" outlineLevel="0" collapsed="false">
      <c r="A400" s="38" t="s">
        <v>2254</v>
      </c>
      <c r="B400" s="8" t="s">
        <v>1462</v>
      </c>
      <c r="C400" s="39" t="n">
        <v>22200</v>
      </c>
      <c r="D400" s="40" t="n">
        <v>46288</v>
      </c>
      <c r="E400" s="8" t="n">
        <v>26</v>
      </c>
      <c r="F400" s="39" t="n">
        <v>832</v>
      </c>
      <c r="G400" s="39" t="n">
        <v>47</v>
      </c>
      <c r="H400" s="39" t="n">
        <v>4</v>
      </c>
      <c r="I400" s="39" t="n">
        <v>0</v>
      </c>
      <c r="J400" s="39" t="n">
        <v>3</v>
      </c>
      <c r="K400" s="8" t="s">
        <v>1240</v>
      </c>
      <c r="L400" s="41" t="s">
        <v>2255</v>
      </c>
      <c r="M400" s="42" t="n">
        <f aca="false">IFERROR(I400/F400,0)</f>
        <v>0</v>
      </c>
      <c r="N400" s="42" t="n">
        <f aca="false">IFERROR(J400/F400,0)</f>
        <v>0.00360576923076923</v>
      </c>
      <c r="O400" s="8" t="n">
        <v>0</v>
      </c>
      <c r="P400" s="8" t="n">
        <v>0</v>
      </c>
      <c r="Q400" s="8" t="n">
        <v>0</v>
      </c>
      <c r="R400" s="8" t="n">
        <v>0</v>
      </c>
      <c r="S400" s="8" t="n">
        <v>0</v>
      </c>
      <c r="T400" s="8" t="n">
        <v>0</v>
      </c>
      <c r="U400" s="8" t="n">
        <v>0</v>
      </c>
      <c r="V400" s="8" t="n">
        <v>0</v>
      </c>
      <c r="W400" s="8" t="n">
        <v>1</v>
      </c>
      <c r="X400" s="8" t="n">
        <v>1</v>
      </c>
      <c r="Y400" s="8" t="n">
        <v>0</v>
      </c>
      <c r="Z400" s="8" t="n">
        <v>0</v>
      </c>
      <c r="AA400" s="8" t="n">
        <v>0</v>
      </c>
      <c r="AB400" s="8" t="n">
        <v>0</v>
      </c>
      <c r="AC400" s="8" t="n">
        <v>0</v>
      </c>
      <c r="AD400" s="8" t="n">
        <v>0</v>
      </c>
    </row>
    <row r="401" customFormat="false" ht="15" hidden="false" customHeight="false" outlineLevel="0" collapsed="false">
      <c r="A401" s="38" t="s">
        <v>2256</v>
      </c>
      <c r="B401" s="8" t="s">
        <v>2257</v>
      </c>
      <c r="C401" s="39" t="n">
        <v>312</v>
      </c>
      <c r="D401" s="40" t="n">
        <v>46311</v>
      </c>
      <c r="E401" s="8" t="n">
        <v>8</v>
      </c>
      <c r="F401" s="39" t="n">
        <v>802</v>
      </c>
      <c r="G401" s="39" t="n">
        <v>26</v>
      </c>
      <c r="H401" s="39" t="n">
        <v>2</v>
      </c>
      <c r="I401" s="39" t="n">
        <v>0</v>
      </c>
      <c r="J401" s="39" t="n">
        <v>2</v>
      </c>
      <c r="K401" s="8" t="s">
        <v>1240</v>
      </c>
      <c r="L401" s="41"/>
      <c r="M401" s="42" t="n">
        <f aca="false">IFERROR(I401/F401,0)</f>
        <v>0</v>
      </c>
      <c r="N401" s="42" t="n">
        <f aca="false">IFERROR(J401/F401,0)</f>
        <v>0.00249376558603491</v>
      </c>
      <c r="O401" s="8" t="n">
        <v>0</v>
      </c>
      <c r="P401" s="8" t="n">
        <v>1</v>
      </c>
      <c r="Q401" s="8" t="n">
        <v>0</v>
      </c>
      <c r="R401" s="8" t="n">
        <v>0</v>
      </c>
      <c r="S401" s="8" t="n">
        <v>0</v>
      </c>
      <c r="T401" s="8" t="n">
        <v>0</v>
      </c>
      <c r="U401" s="8" t="n">
        <v>0</v>
      </c>
      <c r="V401" s="8" t="n">
        <v>0</v>
      </c>
      <c r="W401" s="8" t="n">
        <v>0</v>
      </c>
      <c r="X401" s="8" t="n">
        <v>0</v>
      </c>
      <c r="Y401" s="8" t="n">
        <v>0</v>
      </c>
      <c r="Z401" s="8" t="n">
        <v>0</v>
      </c>
      <c r="AA401" s="8" t="n">
        <v>0</v>
      </c>
      <c r="AB401" s="8" t="n">
        <v>0</v>
      </c>
      <c r="AC401" s="8" t="n">
        <v>0</v>
      </c>
      <c r="AD401" s="8" t="n">
        <v>0</v>
      </c>
    </row>
    <row r="402" customFormat="false" ht="15" hidden="false" customHeight="false" outlineLevel="0" collapsed="false">
      <c r="A402" s="38" t="s">
        <v>2258</v>
      </c>
      <c r="B402" s="8" t="s">
        <v>2259</v>
      </c>
      <c r="C402" s="39" t="n">
        <v>353</v>
      </c>
      <c r="D402" s="40" t="n">
        <v>46312</v>
      </c>
      <c r="E402" s="8" t="n">
        <v>67</v>
      </c>
      <c r="F402" s="39" t="n">
        <v>795</v>
      </c>
      <c r="G402" s="39" t="n">
        <v>12</v>
      </c>
      <c r="H402" s="39" t="n">
        <v>0</v>
      </c>
      <c r="I402" s="39" t="n">
        <v>1</v>
      </c>
      <c r="J402" s="39" t="n">
        <v>0</v>
      </c>
      <c r="K402" s="8" t="s">
        <v>1243</v>
      </c>
      <c r="L402" s="41" t="s">
        <v>2260</v>
      </c>
      <c r="M402" s="42" t="n">
        <f aca="false">IFERROR(I402/F402,0)</f>
        <v>0.00125786163522013</v>
      </c>
      <c r="N402" s="42" t="n">
        <f aca="false">IFERROR(J402/F402,0)</f>
        <v>0</v>
      </c>
      <c r="O402" s="8" t="n">
        <v>1</v>
      </c>
      <c r="P402" s="8" t="n">
        <v>0</v>
      </c>
      <c r="Q402" s="8" t="n">
        <v>1</v>
      </c>
      <c r="R402" s="8" t="n">
        <v>0</v>
      </c>
      <c r="S402" s="8" t="n">
        <v>0</v>
      </c>
      <c r="T402" s="8" t="n">
        <v>0</v>
      </c>
      <c r="U402" s="8" t="n">
        <v>0</v>
      </c>
      <c r="V402" s="8" t="n">
        <v>0</v>
      </c>
      <c r="W402" s="8" t="n">
        <v>0</v>
      </c>
      <c r="X402" s="8" t="n">
        <v>0</v>
      </c>
      <c r="Y402" s="8" t="n">
        <v>0</v>
      </c>
      <c r="Z402" s="8" t="n">
        <v>0</v>
      </c>
      <c r="AA402" s="8" t="n">
        <v>0</v>
      </c>
      <c r="AB402" s="8" t="n">
        <v>0</v>
      </c>
      <c r="AC402" s="8" t="n">
        <v>0</v>
      </c>
      <c r="AD402" s="8" t="n">
        <v>1</v>
      </c>
    </row>
    <row r="403" customFormat="false" ht="15" hidden="false" customHeight="false" outlineLevel="0" collapsed="false">
      <c r="A403" s="38" t="s">
        <v>2261</v>
      </c>
      <c r="B403" s="8" t="s">
        <v>1271</v>
      </c>
      <c r="C403" s="39" t="n">
        <v>74500</v>
      </c>
      <c r="D403" s="40" t="n">
        <v>46310</v>
      </c>
      <c r="E403" s="8" t="n">
        <v>48</v>
      </c>
      <c r="F403" s="39" t="n">
        <v>778</v>
      </c>
      <c r="G403" s="39" t="n">
        <v>19</v>
      </c>
      <c r="H403" s="39" t="n">
        <v>0</v>
      </c>
      <c r="I403" s="39" t="n">
        <v>3</v>
      </c>
      <c r="J403" s="39" t="n">
        <v>1</v>
      </c>
      <c r="K403" s="8" t="s">
        <v>1243</v>
      </c>
      <c r="L403" s="41" t="s">
        <v>2262</v>
      </c>
      <c r="M403" s="42" t="n">
        <f aca="false">IFERROR(I403/F403,0)</f>
        <v>0.0038560411311054</v>
      </c>
      <c r="N403" s="42" t="n">
        <f aca="false">IFERROR(J403/F403,0)</f>
        <v>0.0012853470437018</v>
      </c>
      <c r="O403" s="8" t="n">
        <v>0</v>
      </c>
      <c r="P403" s="8" t="n">
        <v>0</v>
      </c>
      <c r="Q403" s="8" t="n">
        <v>0</v>
      </c>
      <c r="R403" s="8" t="n">
        <v>0</v>
      </c>
      <c r="S403" s="8" t="n">
        <v>0</v>
      </c>
      <c r="T403" s="8" t="n">
        <v>0</v>
      </c>
      <c r="U403" s="8" t="n">
        <v>0</v>
      </c>
      <c r="V403" s="8" t="n">
        <v>1</v>
      </c>
      <c r="W403" s="8" t="n">
        <v>0</v>
      </c>
      <c r="X403" s="8" t="n">
        <v>0</v>
      </c>
      <c r="Y403" s="8" t="n">
        <v>0</v>
      </c>
      <c r="Z403" s="8" t="n">
        <v>0</v>
      </c>
      <c r="AA403" s="8" t="n">
        <v>0</v>
      </c>
      <c r="AB403" s="8" t="n">
        <v>0</v>
      </c>
      <c r="AC403" s="8" t="n">
        <v>0</v>
      </c>
      <c r="AD403" s="8" t="n">
        <v>0</v>
      </c>
    </row>
    <row r="404" customFormat="false" ht="15" hidden="false" customHeight="false" outlineLevel="0" collapsed="false">
      <c r="A404" s="38" t="s">
        <v>2263</v>
      </c>
      <c r="B404" s="8" t="s">
        <v>1496</v>
      </c>
      <c r="C404" s="39" t="n">
        <v>12800</v>
      </c>
      <c r="D404" s="40" t="n">
        <v>46313</v>
      </c>
      <c r="E404" s="8" t="n">
        <v>28</v>
      </c>
      <c r="F404" s="39" t="n">
        <v>742</v>
      </c>
      <c r="G404" s="39" t="n">
        <v>11</v>
      </c>
      <c r="H404" s="39" t="n">
        <v>3</v>
      </c>
      <c r="I404" s="39" t="n">
        <v>2</v>
      </c>
      <c r="J404" s="39" t="n">
        <v>2</v>
      </c>
      <c r="K404" s="8" t="s">
        <v>1243</v>
      </c>
      <c r="L404" s="41" t="s">
        <v>1497</v>
      </c>
      <c r="M404" s="42" t="n">
        <f aca="false">IFERROR(I404/F404,0)</f>
        <v>0.00269541778975741</v>
      </c>
      <c r="N404" s="42" t="n">
        <f aca="false">IFERROR(J404/F404,0)</f>
        <v>0.00269541778975741</v>
      </c>
      <c r="O404" s="8" t="n">
        <v>0</v>
      </c>
      <c r="P404" s="8" t="n">
        <v>0</v>
      </c>
      <c r="Q404" s="8" t="n">
        <v>1</v>
      </c>
      <c r="R404" s="8" t="n">
        <v>0</v>
      </c>
      <c r="S404" s="8" t="n">
        <v>0</v>
      </c>
      <c r="T404" s="8" t="n">
        <v>0</v>
      </c>
      <c r="U404" s="8" t="n">
        <v>1</v>
      </c>
      <c r="V404" s="8" t="n">
        <v>1</v>
      </c>
      <c r="W404" s="8" t="n">
        <v>0</v>
      </c>
      <c r="X404" s="8" t="n">
        <v>0</v>
      </c>
      <c r="Y404" s="8" t="n">
        <v>0</v>
      </c>
      <c r="Z404" s="8" t="n">
        <v>0</v>
      </c>
      <c r="AA404" s="8" t="n">
        <v>0</v>
      </c>
      <c r="AB404" s="8" t="n">
        <v>0</v>
      </c>
      <c r="AC404" s="8" t="n">
        <v>0</v>
      </c>
      <c r="AD404" s="8" t="n">
        <v>0</v>
      </c>
    </row>
    <row r="405" customFormat="false" ht="15" hidden="false" customHeight="false" outlineLevel="0" collapsed="false">
      <c r="A405" s="38" t="s">
        <v>2264</v>
      </c>
      <c r="B405" s="8" t="s">
        <v>1462</v>
      </c>
      <c r="C405" s="39" t="n">
        <v>22200</v>
      </c>
      <c r="D405" s="40" t="n">
        <v>46294</v>
      </c>
      <c r="E405" s="8" t="n">
        <v>25</v>
      </c>
      <c r="F405" s="39" t="n">
        <v>731</v>
      </c>
      <c r="G405" s="39" t="n">
        <v>32</v>
      </c>
      <c r="H405" s="39" t="n">
        <v>1</v>
      </c>
      <c r="I405" s="39" t="n">
        <v>0</v>
      </c>
      <c r="J405" s="39" t="n">
        <v>1</v>
      </c>
      <c r="K405" s="8" t="s">
        <v>1240</v>
      </c>
      <c r="L405" s="41" t="s">
        <v>2265</v>
      </c>
      <c r="M405" s="42" t="n">
        <f aca="false">IFERROR(I405/F405,0)</f>
        <v>0</v>
      </c>
      <c r="N405" s="42" t="n">
        <f aca="false">IFERROR(J405/F405,0)</f>
        <v>0.00136798905608755</v>
      </c>
      <c r="O405" s="8" t="n">
        <v>0</v>
      </c>
      <c r="P405" s="8" t="n">
        <v>0</v>
      </c>
      <c r="Q405" s="8" t="n">
        <v>0</v>
      </c>
      <c r="R405" s="8" t="n">
        <v>0</v>
      </c>
      <c r="S405" s="8" t="n">
        <v>0</v>
      </c>
      <c r="T405" s="8" t="n">
        <v>0</v>
      </c>
      <c r="U405" s="8" t="n">
        <v>0</v>
      </c>
      <c r="V405" s="8" t="n">
        <v>0</v>
      </c>
      <c r="W405" s="8" t="n">
        <v>1</v>
      </c>
      <c r="X405" s="8" t="n">
        <v>1</v>
      </c>
      <c r="Y405" s="8" t="n">
        <v>0</v>
      </c>
      <c r="Z405" s="8" t="n">
        <v>0</v>
      </c>
      <c r="AA405" s="8" t="n">
        <v>0</v>
      </c>
      <c r="AB405" s="8" t="n">
        <v>0</v>
      </c>
      <c r="AC405" s="8" t="n">
        <v>0</v>
      </c>
      <c r="AD405" s="8" t="n">
        <v>0</v>
      </c>
    </row>
    <row r="406" customFormat="false" ht="15" hidden="false" customHeight="false" outlineLevel="0" collapsed="false">
      <c r="A406" s="38" t="s">
        <v>2266</v>
      </c>
      <c r="B406" s="8" t="s">
        <v>1496</v>
      </c>
      <c r="C406" s="39" t="n">
        <v>12800</v>
      </c>
      <c r="D406" s="40" t="n">
        <v>46310</v>
      </c>
      <c r="E406" s="8" t="n">
        <v>17</v>
      </c>
      <c r="F406" s="39" t="n">
        <v>706</v>
      </c>
      <c r="G406" s="39" t="n">
        <v>6</v>
      </c>
      <c r="H406" s="39" t="n">
        <v>1</v>
      </c>
      <c r="I406" s="39" t="n">
        <v>5</v>
      </c>
      <c r="J406" s="39" t="n">
        <v>1</v>
      </c>
      <c r="K406" s="8" t="s">
        <v>1243</v>
      </c>
      <c r="L406" s="41" t="s">
        <v>1497</v>
      </c>
      <c r="M406" s="42" t="n">
        <f aca="false">IFERROR(I406/F406,0)</f>
        <v>0.00708215297450425</v>
      </c>
      <c r="N406" s="42" t="n">
        <f aca="false">IFERROR(J406/F406,0)</f>
        <v>0.00141643059490085</v>
      </c>
      <c r="O406" s="8" t="n">
        <v>0</v>
      </c>
      <c r="P406" s="8" t="n">
        <v>0</v>
      </c>
      <c r="Q406" s="8" t="n">
        <v>1</v>
      </c>
      <c r="R406" s="8" t="n">
        <v>0</v>
      </c>
      <c r="S406" s="8" t="n">
        <v>0</v>
      </c>
      <c r="T406" s="8" t="n">
        <v>0</v>
      </c>
      <c r="U406" s="8" t="n">
        <v>1</v>
      </c>
      <c r="V406" s="8" t="n">
        <v>1</v>
      </c>
      <c r="W406" s="8" t="n">
        <v>0</v>
      </c>
      <c r="X406" s="8" t="n">
        <v>0</v>
      </c>
      <c r="Y406" s="8" t="n">
        <v>0</v>
      </c>
      <c r="Z406" s="8" t="n">
        <v>0</v>
      </c>
      <c r="AA406" s="8" t="n">
        <v>0</v>
      </c>
      <c r="AB406" s="8" t="n">
        <v>0</v>
      </c>
      <c r="AC406" s="8" t="n">
        <v>0</v>
      </c>
      <c r="AD406" s="8" t="n">
        <v>0</v>
      </c>
    </row>
    <row r="407" customFormat="false" ht="15" hidden="false" customHeight="false" outlineLevel="0" collapsed="false">
      <c r="A407" s="38" t="s">
        <v>2267</v>
      </c>
      <c r="B407" s="8" t="s">
        <v>2268</v>
      </c>
      <c r="C407" s="39" t="n">
        <v>458</v>
      </c>
      <c r="D407" s="40" t="n">
        <v>46314</v>
      </c>
      <c r="E407" s="8" t="n">
        <v>16</v>
      </c>
      <c r="F407" s="39" t="n">
        <v>665</v>
      </c>
      <c r="G407" s="39" t="n">
        <v>15</v>
      </c>
      <c r="H407" s="39" t="n">
        <v>1</v>
      </c>
      <c r="I407" s="39" t="n">
        <v>0</v>
      </c>
      <c r="J407" s="39" t="n">
        <v>0</v>
      </c>
      <c r="K407" s="8" t="s">
        <v>1243</v>
      </c>
      <c r="L407" s="41" t="s">
        <v>2269</v>
      </c>
      <c r="M407" s="42" t="n">
        <f aca="false">IFERROR(I407/F407,0)</f>
        <v>0</v>
      </c>
      <c r="N407" s="42" t="n">
        <f aca="false">IFERROR(J407/F407,0)</f>
        <v>0</v>
      </c>
      <c r="O407" s="8" t="n">
        <v>0</v>
      </c>
      <c r="P407" s="8" t="n">
        <v>0</v>
      </c>
      <c r="Q407" s="8" t="n">
        <v>0</v>
      </c>
      <c r="R407" s="8" t="n">
        <v>0</v>
      </c>
      <c r="S407" s="8" t="n">
        <v>0</v>
      </c>
      <c r="T407" s="8" t="n">
        <v>0</v>
      </c>
      <c r="U407" s="8" t="n">
        <v>0</v>
      </c>
      <c r="V407" s="8" t="n">
        <v>0</v>
      </c>
      <c r="W407" s="8" t="n">
        <v>0</v>
      </c>
      <c r="X407" s="8" t="n">
        <v>0</v>
      </c>
      <c r="Y407" s="8" t="n">
        <v>0</v>
      </c>
      <c r="Z407" s="8" t="n">
        <v>0</v>
      </c>
      <c r="AA407" s="8" t="n">
        <v>0</v>
      </c>
      <c r="AB407" s="8" t="n">
        <v>0</v>
      </c>
      <c r="AC407" s="8" t="n">
        <v>0</v>
      </c>
      <c r="AD407" s="8" t="n">
        <v>0</v>
      </c>
    </row>
    <row r="408" customFormat="false" ht="15" hidden="false" customHeight="false" outlineLevel="0" collapsed="false">
      <c r="A408" s="38" t="s">
        <v>2270</v>
      </c>
      <c r="B408" s="8" t="s">
        <v>2271</v>
      </c>
      <c r="C408" s="39" t="n">
        <v>3702</v>
      </c>
      <c r="D408" s="40" t="n">
        <v>46315</v>
      </c>
      <c r="E408" s="8" t="n">
        <v>8</v>
      </c>
      <c r="F408" s="39" t="n">
        <v>662</v>
      </c>
      <c r="G408" s="39" t="n">
        <v>0</v>
      </c>
      <c r="H408" s="39" t="n">
        <v>0</v>
      </c>
      <c r="I408" s="39" t="n">
        <v>0</v>
      </c>
      <c r="J408" s="39" t="n">
        <v>0</v>
      </c>
      <c r="K408" s="8" t="s">
        <v>1240</v>
      </c>
      <c r="L408" s="41" t="s">
        <v>2272</v>
      </c>
      <c r="M408" s="42" t="n">
        <f aca="false">IFERROR(I408/F408,0)</f>
        <v>0</v>
      </c>
      <c r="N408" s="42" t="n">
        <f aca="false">IFERROR(J408/F408,0)</f>
        <v>0</v>
      </c>
      <c r="O408" s="8" t="n">
        <v>0</v>
      </c>
      <c r="P408" s="8" t="n">
        <v>0</v>
      </c>
      <c r="Q408" s="8" t="n">
        <v>0</v>
      </c>
      <c r="R408" s="8" t="n">
        <v>0</v>
      </c>
      <c r="S408" s="8" t="n">
        <v>0</v>
      </c>
      <c r="T408" s="8" t="n">
        <v>0</v>
      </c>
      <c r="U408" s="8" t="n">
        <v>0</v>
      </c>
      <c r="V408" s="8" t="n">
        <v>0</v>
      </c>
      <c r="W408" s="8" t="n">
        <v>1</v>
      </c>
      <c r="X408" s="8" t="n">
        <v>1</v>
      </c>
      <c r="Y408" s="8" t="n">
        <v>0</v>
      </c>
      <c r="Z408" s="8" t="n">
        <v>0</v>
      </c>
      <c r="AA408" s="8" t="n">
        <v>0</v>
      </c>
      <c r="AB408" s="8" t="n">
        <v>0</v>
      </c>
      <c r="AC408" s="8" t="n">
        <v>0</v>
      </c>
      <c r="AD408" s="8" t="n">
        <v>0</v>
      </c>
    </row>
    <row r="409" customFormat="false" ht="15" hidden="false" customHeight="false" outlineLevel="0" collapsed="false">
      <c r="A409" s="38" t="s">
        <v>2273</v>
      </c>
      <c r="B409" s="8" t="s">
        <v>2141</v>
      </c>
      <c r="C409" s="39" t="n">
        <v>1365</v>
      </c>
      <c r="D409" s="40" t="n">
        <v>46182</v>
      </c>
      <c r="E409" s="8" t="n">
        <v>22</v>
      </c>
      <c r="F409" s="39" t="n">
        <v>636</v>
      </c>
      <c r="G409" s="39" t="n">
        <v>22</v>
      </c>
      <c r="H409" s="39" t="n">
        <v>1</v>
      </c>
      <c r="I409" s="39" t="n">
        <v>1</v>
      </c>
      <c r="J409" s="39" t="n">
        <v>3</v>
      </c>
      <c r="K409" s="8" t="s">
        <v>1240</v>
      </c>
      <c r="L409" s="41" t="s">
        <v>2274</v>
      </c>
      <c r="M409" s="42" t="n">
        <f aca="false">IFERROR(I409/F409,0)</f>
        <v>0.00157232704402516</v>
      </c>
      <c r="N409" s="42" t="n">
        <f aca="false">IFERROR(J409/F409,0)</f>
        <v>0.00471698113207547</v>
      </c>
      <c r="O409" s="8" t="n">
        <v>0</v>
      </c>
      <c r="P409" s="8" t="n">
        <v>0</v>
      </c>
      <c r="Q409" s="8" t="n">
        <v>0</v>
      </c>
      <c r="R409" s="8" t="n">
        <v>0</v>
      </c>
      <c r="S409" s="8" t="n">
        <v>0</v>
      </c>
      <c r="T409" s="8" t="n">
        <v>0</v>
      </c>
      <c r="U409" s="8" t="n">
        <v>0</v>
      </c>
      <c r="V409" s="8" t="n">
        <v>1</v>
      </c>
      <c r="W409" s="8" t="n">
        <v>0</v>
      </c>
      <c r="X409" s="8" t="n">
        <v>0</v>
      </c>
      <c r="Y409" s="8" t="n">
        <v>0</v>
      </c>
      <c r="Z409" s="8" t="n">
        <v>0</v>
      </c>
      <c r="AA409" s="8" t="n">
        <v>0</v>
      </c>
      <c r="AB409" s="8" t="n">
        <v>0</v>
      </c>
      <c r="AC409" s="8" t="n">
        <v>0</v>
      </c>
      <c r="AD409" s="8" t="n">
        <v>0</v>
      </c>
    </row>
    <row r="410" customFormat="false" ht="15" hidden="false" customHeight="false" outlineLevel="0" collapsed="false">
      <c r="A410" s="38" t="s">
        <v>2275</v>
      </c>
      <c r="B410" s="8" t="s">
        <v>1721</v>
      </c>
      <c r="C410" s="39" t="n">
        <v>1023</v>
      </c>
      <c r="D410" s="40" t="n">
        <v>46194</v>
      </c>
      <c r="E410" s="8" t="n">
        <v>62</v>
      </c>
      <c r="F410" s="39" t="n">
        <v>629</v>
      </c>
      <c r="G410" s="39" t="n">
        <v>18</v>
      </c>
      <c r="H410" s="39" t="n">
        <v>4</v>
      </c>
      <c r="I410" s="39" t="n">
        <v>5</v>
      </c>
      <c r="J410" s="39" t="n">
        <v>3</v>
      </c>
      <c r="K410" s="8" t="s">
        <v>1240</v>
      </c>
      <c r="L410" s="41" t="s">
        <v>2276</v>
      </c>
      <c r="M410" s="42" t="n">
        <f aca="false">IFERROR(I410/F410,0)</f>
        <v>0.00794912559618442</v>
      </c>
      <c r="N410" s="42" t="n">
        <f aca="false">IFERROR(J410/F410,0)</f>
        <v>0.00476947535771065</v>
      </c>
      <c r="O410" s="8" t="n">
        <v>0</v>
      </c>
      <c r="P410" s="8" t="n">
        <v>0</v>
      </c>
      <c r="Q410" s="8" t="n">
        <v>0</v>
      </c>
      <c r="R410" s="8" t="n">
        <v>0</v>
      </c>
      <c r="S410" s="8" t="n">
        <v>0</v>
      </c>
      <c r="T410" s="8" t="n">
        <v>0</v>
      </c>
      <c r="U410" s="8" t="n">
        <v>0</v>
      </c>
      <c r="V410" s="8" t="n">
        <v>1</v>
      </c>
      <c r="W410" s="8" t="n">
        <v>0</v>
      </c>
      <c r="X410" s="8" t="n">
        <v>0</v>
      </c>
      <c r="Y410" s="8" t="n">
        <v>0</v>
      </c>
      <c r="Z410" s="8" t="n">
        <v>0</v>
      </c>
      <c r="AA410" s="8" t="n">
        <v>0</v>
      </c>
      <c r="AB410" s="8" t="n">
        <v>0</v>
      </c>
      <c r="AC410" s="8" t="n">
        <v>0</v>
      </c>
      <c r="AD410" s="8" t="n">
        <v>0</v>
      </c>
    </row>
    <row r="411" customFormat="false" ht="15" hidden="false" customHeight="false" outlineLevel="0" collapsed="false">
      <c r="A411" s="38" t="s">
        <v>2277</v>
      </c>
      <c r="B411" s="8" t="s">
        <v>2278</v>
      </c>
      <c r="C411" s="39" t="n">
        <v>369</v>
      </c>
      <c r="D411" s="40" t="n">
        <v>46313</v>
      </c>
      <c r="E411" s="8" t="n">
        <v>57</v>
      </c>
      <c r="F411" s="39" t="n">
        <v>605</v>
      </c>
      <c r="G411" s="39" t="n">
        <v>42</v>
      </c>
      <c r="H411" s="39" t="n">
        <v>2</v>
      </c>
      <c r="I411" s="39" t="n">
        <v>4</v>
      </c>
      <c r="J411" s="39" t="n">
        <v>1</v>
      </c>
      <c r="K411" s="8" t="s">
        <v>1240</v>
      </c>
      <c r="L411" s="41"/>
      <c r="M411" s="42" t="n">
        <f aca="false">IFERROR(I411/F411,0)</f>
        <v>0.00661157024793388</v>
      </c>
      <c r="N411" s="42" t="n">
        <f aca="false">IFERROR(J411/F411,0)</f>
        <v>0.00165289256198347</v>
      </c>
      <c r="O411" s="8" t="n">
        <v>0</v>
      </c>
      <c r="P411" s="8" t="n">
        <v>1</v>
      </c>
      <c r="Q411" s="8" t="n">
        <v>0</v>
      </c>
      <c r="R411" s="8" t="n">
        <v>0</v>
      </c>
      <c r="S411" s="8" t="n">
        <v>0</v>
      </c>
      <c r="T411" s="8" t="n">
        <v>0</v>
      </c>
      <c r="U411" s="8" t="n">
        <v>0</v>
      </c>
      <c r="V411" s="8" t="n">
        <v>0</v>
      </c>
      <c r="W411" s="8" t="n">
        <v>0</v>
      </c>
      <c r="X411" s="8" t="n">
        <v>0</v>
      </c>
      <c r="Y411" s="8" t="n">
        <v>0</v>
      </c>
      <c r="Z411" s="8" t="n">
        <v>0</v>
      </c>
      <c r="AA411" s="8" t="n">
        <v>0</v>
      </c>
      <c r="AB411" s="8" t="n">
        <v>0</v>
      </c>
      <c r="AC411" s="8" t="n">
        <v>0</v>
      </c>
      <c r="AD411" s="8" t="n">
        <v>0</v>
      </c>
    </row>
    <row r="412" customFormat="false" ht="15" hidden="false" customHeight="false" outlineLevel="0" collapsed="false">
      <c r="A412" s="38" t="s">
        <v>2279</v>
      </c>
      <c r="B412" s="8" t="s">
        <v>2280</v>
      </c>
      <c r="C412" s="39" t="n">
        <v>5849</v>
      </c>
      <c r="D412" s="40" t="n">
        <v>46314</v>
      </c>
      <c r="E412" s="8" t="n">
        <v>27</v>
      </c>
      <c r="F412" s="39" t="n">
        <v>597</v>
      </c>
      <c r="G412" s="39" t="n">
        <v>17</v>
      </c>
      <c r="H412" s="39" t="n">
        <v>0</v>
      </c>
      <c r="I412" s="39" t="n">
        <v>0</v>
      </c>
      <c r="J412" s="39" t="n">
        <v>4</v>
      </c>
      <c r="K412" s="8" t="s">
        <v>1240</v>
      </c>
      <c r="L412" s="41" t="s">
        <v>2281</v>
      </c>
      <c r="M412" s="42" t="n">
        <f aca="false">IFERROR(I412/F412,0)</f>
        <v>0</v>
      </c>
      <c r="N412" s="42" t="n">
        <f aca="false">IFERROR(J412/F412,0)</f>
        <v>0.00670016750418761</v>
      </c>
      <c r="O412" s="8" t="n">
        <v>0</v>
      </c>
      <c r="P412" s="8" t="n">
        <v>0</v>
      </c>
      <c r="Q412" s="8" t="n">
        <v>0</v>
      </c>
      <c r="R412" s="8" t="n">
        <v>0</v>
      </c>
      <c r="S412" s="8" t="n">
        <v>0</v>
      </c>
      <c r="T412" s="8" t="n">
        <v>0</v>
      </c>
      <c r="U412" s="8" t="n">
        <v>0</v>
      </c>
      <c r="V412" s="8" t="n">
        <v>0</v>
      </c>
      <c r="W412" s="8" t="n">
        <v>1</v>
      </c>
      <c r="X412" s="8" t="n">
        <v>1</v>
      </c>
      <c r="Y412" s="8" t="n">
        <v>0</v>
      </c>
      <c r="Z412" s="8" t="n">
        <v>0</v>
      </c>
      <c r="AA412" s="8" t="n">
        <v>0</v>
      </c>
      <c r="AB412" s="8" t="n">
        <v>0</v>
      </c>
      <c r="AC412" s="8" t="n">
        <v>0</v>
      </c>
      <c r="AD412" s="8" t="n">
        <v>1</v>
      </c>
    </row>
    <row r="413" customFormat="false" ht="15" hidden="false" customHeight="false" outlineLevel="0" collapsed="false">
      <c r="A413" s="38" t="s">
        <v>2282</v>
      </c>
      <c r="B413" s="8" t="s">
        <v>2283</v>
      </c>
      <c r="C413" s="39" t="n">
        <v>491</v>
      </c>
      <c r="D413" s="40" t="n">
        <v>46310</v>
      </c>
      <c r="E413" s="8" t="n">
        <v>51</v>
      </c>
      <c r="F413" s="39" t="n">
        <v>580</v>
      </c>
      <c r="G413" s="39" t="n">
        <v>47</v>
      </c>
      <c r="H413" s="39" t="n">
        <v>2</v>
      </c>
      <c r="I413" s="39" t="n">
        <v>0</v>
      </c>
      <c r="J413" s="39" t="n">
        <v>2</v>
      </c>
      <c r="K413" s="8" t="s">
        <v>1240</v>
      </c>
      <c r="L413" s="41" t="s">
        <v>2284</v>
      </c>
      <c r="M413" s="42" t="n">
        <f aca="false">IFERROR(I413/F413,0)</f>
        <v>0</v>
      </c>
      <c r="N413" s="42" t="n">
        <f aca="false">IFERROR(J413/F413,0)</f>
        <v>0.00344827586206897</v>
      </c>
      <c r="O413" s="8" t="n">
        <v>0</v>
      </c>
      <c r="P413" s="8" t="n">
        <v>0</v>
      </c>
      <c r="Q413" s="8" t="n">
        <v>0</v>
      </c>
      <c r="R413" s="8" t="n">
        <v>0</v>
      </c>
      <c r="S413" s="8" t="n">
        <v>0</v>
      </c>
      <c r="T413" s="8" t="n">
        <v>1</v>
      </c>
      <c r="U413" s="8" t="n">
        <v>0</v>
      </c>
      <c r="V413" s="8" t="n">
        <v>0</v>
      </c>
      <c r="W413" s="8" t="n">
        <v>0</v>
      </c>
      <c r="X413" s="8" t="n">
        <v>1</v>
      </c>
      <c r="Y413" s="8" t="n">
        <v>0</v>
      </c>
      <c r="Z413" s="8" t="n">
        <v>0</v>
      </c>
      <c r="AA413" s="8" t="n">
        <v>0</v>
      </c>
      <c r="AB413" s="8" t="n">
        <v>0</v>
      </c>
      <c r="AC413" s="8" t="n">
        <v>0</v>
      </c>
      <c r="AD413" s="8" t="n">
        <v>0</v>
      </c>
    </row>
    <row r="414" customFormat="false" ht="15" hidden="false" customHeight="false" outlineLevel="0" collapsed="false">
      <c r="A414" s="38" t="s">
        <v>2285</v>
      </c>
      <c r="B414" s="8" t="s">
        <v>2286</v>
      </c>
      <c r="C414" s="39" t="n">
        <v>14600</v>
      </c>
      <c r="D414" s="40" t="n">
        <v>46314</v>
      </c>
      <c r="E414" s="8" t="n">
        <v>17</v>
      </c>
      <c r="F414" s="39" t="n">
        <v>553</v>
      </c>
      <c r="G414" s="39" t="n">
        <v>32</v>
      </c>
      <c r="H414" s="39" t="n">
        <v>1</v>
      </c>
      <c r="I414" s="39" t="n">
        <v>0</v>
      </c>
      <c r="J414" s="39" t="n">
        <v>1</v>
      </c>
      <c r="K414" s="8" t="s">
        <v>1240</v>
      </c>
      <c r="L414" s="41" t="s">
        <v>2287</v>
      </c>
      <c r="M414" s="42" t="n">
        <f aca="false">IFERROR(I414/F414,0)</f>
        <v>0</v>
      </c>
      <c r="N414" s="42" t="n">
        <f aca="false">IFERROR(J414/F414,0)</f>
        <v>0.00180831826401447</v>
      </c>
      <c r="O414" s="8" t="n">
        <v>0</v>
      </c>
      <c r="P414" s="8" t="n">
        <v>0</v>
      </c>
      <c r="Q414" s="8" t="n">
        <v>0</v>
      </c>
      <c r="R414" s="8" t="n">
        <v>0</v>
      </c>
      <c r="S414" s="8" t="n">
        <v>0</v>
      </c>
      <c r="T414" s="8" t="n">
        <v>0</v>
      </c>
      <c r="U414" s="8" t="n">
        <v>1</v>
      </c>
      <c r="V414" s="8" t="n">
        <v>1</v>
      </c>
      <c r="W414" s="8" t="n">
        <v>0</v>
      </c>
      <c r="X414" s="8" t="n">
        <v>0</v>
      </c>
      <c r="Y414" s="8" t="n">
        <v>0</v>
      </c>
      <c r="Z414" s="8" t="n">
        <v>0</v>
      </c>
      <c r="AA414" s="8" t="n">
        <v>0</v>
      </c>
      <c r="AB414" s="8" t="n">
        <v>0</v>
      </c>
      <c r="AC414" s="8" t="n">
        <v>0</v>
      </c>
      <c r="AD414" s="8" t="n">
        <v>0</v>
      </c>
    </row>
    <row r="415" customFormat="false" ht="15" hidden="false" customHeight="false" outlineLevel="0" collapsed="false">
      <c r="A415" s="38" t="s">
        <v>2288</v>
      </c>
      <c r="B415" s="8" t="s">
        <v>2289</v>
      </c>
      <c r="C415" s="39" t="n">
        <v>70</v>
      </c>
      <c r="D415" s="40" t="n">
        <v>46312</v>
      </c>
      <c r="E415" s="8" t="n">
        <v>23</v>
      </c>
      <c r="F415" s="39" t="n">
        <v>548</v>
      </c>
      <c r="G415" s="39" t="n">
        <v>14</v>
      </c>
      <c r="H415" s="39" t="n">
        <v>0</v>
      </c>
      <c r="I415" s="39" t="n">
        <v>3</v>
      </c>
      <c r="J415" s="39" t="n">
        <v>2</v>
      </c>
      <c r="K415" s="8" t="s">
        <v>1240</v>
      </c>
      <c r="L415" s="41" t="s">
        <v>2290</v>
      </c>
      <c r="M415" s="42" t="n">
        <f aca="false">IFERROR(I415/F415,0)</f>
        <v>0.00547445255474453</v>
      </c>
      <c r="N415" s="42" t="n">
        <f aca="false">IFERROR(J415/F415,0)</f>
        <v>0.00364963503649635</v>
      </c>
      <c r="O415" s="8" t="n">
        <v>0</v>
      </c>
      <c r="P415" s="8" t="n">
        <v>1</v>
      </c>
      <c r="Q415" s="8" t="n">
        <v>0</v>
      </c>
      <c r="R415" s="8" t="n">
        <v>0</v>
      </c>
      <c r="S415" s="8" t="n">
        <v>0</v>
      </c>
      <c r="T415" s="8" t="n">
        <v>0</v>
      </c>
      <c r="U415" s="8" t="n">
        <v>0</v>
      </c>
      <c r="V415" s="8" t="n">
        <v>1</v>
      </c>
      <c r="W415" s="8" t="n">
        <v>0</v>
      </c>
      <c r="X415" s="8" t="n">
        <v>0</v>
      </c>
      <c r="Y415" s="8" t="n">
        <v>0</v>
      </c>
      <c r="Z415" s="8" t="n">
        <v>0</v>
      </c>
      <c r="AA415" s="8" t="n">
        <v>0</v>
      </c>
      <c r="AB415" s="8" t="n">
        <v>0</v>
      </c>
      <c r="AC415" s="8" t="n">
        <v>1</v>
      </c>
      <c r="AD415" s="8" t="n">
        <v>0</v>
      </c>
    </row>
    <row r="416" customFormat="false" ht="15" hidden="false" customHeight="false" outlineLevel="0" collapsed="false">
      <c r="A416" s="38" t="s">
        <v>2291</v>
      </c>
      <c r="B416" s="8" t="s">
        <v>2292</v>
      </c>
      <c r="C416" s="39" t="n">
        <v>3420</v>
      </c>
      <c r="D416" s="40" t="n">
        <v>46316</v>
      </c>
      <c r="E416" s="8" t="n">
        <v>25</v>
      </c>
      <c r="F416" s="39" t="n">
        <v>527</v>
      </c>
      <c r="G416" s="39" t="n">
        <v>6</v>
      </c>
      <c r="H416" s="39" t="n">
        <v>4</v>
      </c>
      <c r="I416" s="39" t="n">
        <v>0</v>
      </c>
      <c r="J416" s="39" t="n">
        <v>1</v>
      </c>
      <c r="K416" s="8" t="s">
        <v>1240</v>
      </c>
      <c r="L416" s="41"/>
      <c r="M416" s="42" t="n">
        <f aca="false">IFERROR(I416/F416,0)</f>
        <v>0</v>
      </c>
      <c r="N416" s="42" t="n">
        <f aca="false">IFERROR(J416/F416,0)</f>
        <v>0.00189753320683112</v>
      </c>
      <c r="O416" s="8" t="n">
        <v>0</v>
      </c>
      <c r="P416" s="8" t="n">
        <v>1</v>
      </c>
      <c r="Q416" s="8" t="n">
        <v>0</v>
      </c>
      <c r="R416" s="8" t="n">
        <v>0</v>
      </c>
      <c r="S416" s="8" t="n">
        <v>0</v>
      </c>
      <c r="T416" s="8" t="n">
        <v>0</v>
      </c>
      <c r="U416" s="8" t="n">
        <v>0</v>
      </c>
      <c r="V416" s="8" t="n">
        <v>0</v>
      </c>
      <c r="W416" s="8" t="n">
        <v>0</v>
      </c>
      <c r="X416" s="8" t="n">
        <v>0</v>
      </c>
      <c r="Y416" s="8" t="n">
        <v>0</v>
      </c>
      <c r="Z416" s="8" t="n">
        <v>0</v>
      </c>
      <c r="AA416" s="8" t="n">
        <v>0</v>
      </c>
      <c r="AB416" s="8" t="n">
        <v>0</v>
      </c>
      <c r="AC416" s="8" t="n">
        <v>0</v>
      </c>
      <c r="AD416" s="8" t="n">
        <v>0</v>
      </c>
    </row>
    <row r="417" customFormat="false" ht="15" hidden="false" customHeight="false" outlineLevel="0" collapsed="false">
      <c r="A417" s="38" t="s">
        <v>2293</v>
      </c>
      <c r="B417" s="8" t="s">
        <v>1496</v>
      </c>
      <c r="C417" s="39" t="n">
        <v>12800</v>
      </c>
      <c r="D417" s="40" t="n">
        <v>46314</v>
      </c>
      <c r="E417" s="8" t="n">
        <v>14</v>
      </c>
      <c r="F417" s="39" t="n">
        <v>518</v>
      </c>
      <c r="G417" s="39" t="n">
        <v>7</v>
      </c>
      <c r="H417" s="39" t="n">
        <v>0</v>
      </c>
      <c r="I417" s="39" t="n">
        <v>0</v>
      </c>
      <c r="J417" s="39" t="n">
        <v>2</v>
      </c>
      <c r="K417" s="8" t="s">
        <v>1243</v>
      </c>
      <c r="L417" s="41" t="s">
        <v>1497</v>
      </c>
      <c r="M417" s="42" t="n">
        <f aca="false">IFERROR(I417/F417,0)</f>
        <v>0</v>
      </c>
      <c r="N417" s="42" t="n">
        <f aca="false">IFERROR(J417/F417,0)</f>
        <v>0.00386100386100386</v>
      </c>
      <c r="O417" s="8" t="n">
        <v>0</v>
      </c>
      <c r="P417" s="8" t="n">
        <v>0</v>
      </c>
      <c r="Q417" s="8" t="n">
        <v>1</v>
      </c>
      <c r="R417" s="8" t="n">
        <v>0</v>
      </c>
      <c r="S417" s="8" t="n">
        <v>0</v>
      </c>
      <c r="T417" s="8" t="n">
        <v>0</v>
      </c>
      <c r="U417" s="8" t="n">
        <v>1</v>
      </c>
      <c r="V417" s="8" t="n">
        <v>1</v>
      </c>
      <c r="W417" s="8" t="n">
        <v>0</v>
      </c>
      <c r="X417" s="8" t="n">
        <v>0</v>
      </c>
      <c r="Y417" s="8" t="n">
        <v>0</v>
      </c>
      <c r="Z417" s="8" t="n">
        <v>0</v>
      </c>
      <c r="AA417" s="8" t="n">
        <v>0</v>
      </c>
      <c r="AB417" s="8" t="n">
        <v>0</v>
      </c>
      <c r="AC417" s="8" t="n">
        <v>0</v>
      </c>
      <c r="AD417" s="8" t="n">
        <v>0</v>
      </c>
    </row>
    <row r="418" customFormat="false" ht="15" hidden="false" customHeight="false" outlineLevel="0" collapsed="false">
      <c r="A418" s="38" t="s">
        <v>2294</v>
      </c>
      <c r="B418" s="8" t="s">
        <v>2280</v>
      </c>
      <c r="C418" s="39" t="n">
        <v>5849</v>
      </c>
      <c r="D418" s="40" t="n">
        <v>46314</v>
      </c>
      <c r="E418" s="8" t="n">
        <v>35</v>
      </c>
      <c r="F418" s="39" t="n">
        <v>507</v>
      </c>
      <c r="G418" s="39" t="n">
        <v>24</v>
      </c>
      <c r="H418" s="39" t="n">
        <v>0</v>
      </c>
      <c r="I418" s="39" t="n">
        <v>0</v>
      </c>
      <c r="J418" s="39" t="n">
        <v>1</v>
      </c>
      <c r="K418" s="8" t="s">
        <v>1240</v>
      </c>
      <c r="L418" s="41" t="s">
        <v>2295</v>
      </c>
      <c r="M418" s="42" t="n">
        <f aca="false">IFERROR(I418/F418,0)</f>
        <v>0</v>
      </c>
      <c r="N418" s="42" t="n">
        <f aca="false">IFERROR(J418/F418,0)</f>
        <v>0.0019723865877712</v>
      </c>
      <c r="O418" s="8" t="n">
        <v>0</v>
      </c>
      <c r="P418" s="8" t="n">
        <v>0</v>
      </c>
      <c r="Q418" s="8" t="n">
        <v>0</v>
      </c>
      <c r="R418" s="8" t="n">
        <v>0</v>
      </c>
      <c r="S418" s="8" t="n">
        <v>0</v>
      </c>
      <c r="T418" s="8" t="n">
        <v>0</v>
      </c>
      <c r="U418" s="8" t="n">
        <v>0</v>
      </c>
      <c r="V418" s="8" t="n">
        <v>0</v>
      </c>
      <c r="W418" s="8" t="n">
        <v>1</v>
      </c>
      <c r="X418" s="8" t="n">
        <v>1</v>
      </c>
      <c r="Y418" s="8" t="n">
        <v>0</v>
      </c>
      <c r="Z418" s="8" t="n">
        <v>0</v>
      </c>
      <c r="AA418" s="8" t="n">
        <v>0</v>
      </c>
      <c r="AB418" s="8" t="n">
        <v>0</v>
      </c>
      <c r="AC418" s="8" t="n">
        <v>0</v>
      </c>
      <c r="AD418" s="8" t="n">
        <v>0</v>
      </c>
    </row>
    <row r="419" customFormat="false" ht="15" hidden="false" customHeight="false" outlineLevel="0" collapsed="false">
      <c r="A419" s="38" t="s">
        <v>2296</v>
      </c>
      <c r="B419" s="8" t="s">
        <v>1496</v>
      </c>
      <c r="C419" s="39" t="n">
        <v>12800</v>
      </c>
      <c r="D419" s="40" t="n">
        <v>46313</v>
      </c>
      <c r="E419" s="8" t="n">
        <v>30</v>
      </c>
      <c r="F419" s="39" t="n">
        <v>482</v>
      </c>
      <c r="G419" s="39" t="n">
        <v>4</v>
      </c>
      <c r="H419" s="39" t="n">
        <v>1</v>
      </c>
      <c r="I419" s="39" t="n">
        <v>0</v>
      </c>
      <c r="J419" s="39" t="n">
        <v>1</v>
      </c>
      <c r="K419" s="8" t="s">
        <v>1243</v>
      </c>
      <c r="L419" s="41" t="s">
        <v>1497</v>
      </c>
      <c r="M419" s="42" t="n">
        <f aca="false">IFERROR(I419/F419,0)</f>
        <v>0</v>
      </c>
      <c r="N419" s="42" t="n">
        <f aca="false">IFERROR(J419/F419,0)</f>
        <v>0.0020746887966805</v>
      </c>
      <c r="O419" s="8" t="n">
        <v>0</v>
      </c>
      <c r="P419" s="8" t="n">
        <v>0</v>
      </c>
      <c r="Q419" s="8" t="n">
        <v>1</v>
      </c>
      <c r="R419" s="8" t="n">
        <v>0</v>
      </c>
      <c r="S419" s="8" t="n">
        <v>0</v>
      </c>
      <c r="T419" s="8" t="n">
        <v>0</v>
      </c>
      <c r="U419" s="8" t="n">
        <v>1</v>
      </c>
      <c r="V419" s="8" t="n">
        <v>1</v>
      </c>
      <c r="W419" s="8" t="n">
        <v>0</v>
      </c>
      <c r="X419" s="8" t="n">
        <v>0</v>
      </c>
      <c r="Y419" s="8" t="n">
        <v>0</v>
      </c>
      <c r="Z419" s="8" t="n">
        <v>0</v>
      </c>
      <c r="AA419" s="8" t="n">
        <v>0</v>
      </c>
      <c r="AB419" s="8" t="n">
        <v>0</v>
      </c>
      <c r="AC419" s="8" t="n">
        <v>0</v>
      </c>
      <c r="AD419" s="8" t="n">
        <v>0</v>
      </c>
    </row>
    <row r="420" customFormat="false" ht="15" hidden="false" customHeight="false" outlineLevel="0" collapsed="false">
      <c r="A420" s="38" t="s">
        <v>2297</v>
      </c>
      <c r="B420" s="8" t="s">
        <v>2298</v>
      </c>
      <c r="C420" s="39" t="n">
        <v>78</v>
      </c>
      <c r="D420" s="40" t="n">
        <v>46091</v>
      </c>
      <c r="E420" s="8" t="n">
        <v>30</v>
      </c>
      <c r="F420" s="39" t="n">
        <v>454</v>
      </c>
      <c r="G420" s="39" t="n">
        <v>7</v>
      </c>
      <c r="H420" s="39" t="n">
        <v>0</v>
      </c>
      <c r="I420" s="39" t="n">
        <v>0</v>
      </c>
      <c r="J420" s="39" t="n">
        <v>0</v>
      </c>
      <c r="K420" s="8" t="s">
        <v>1243</v>
      </c>
      <c r="L420" s="41" t="s">
        <v>2299</v>
      </c>
      <c r="M420" s="42" t="n">
        <f aca="false">IFERROR(I420/F420,0)</f>
        <v>0</v>
      </c>
      <c r="N420" s="42" t="n">
        <f aca="false">IFERROR(J420/F420,0)</f>
        <v>0</v>
      </c>
      <c r="O420" s="8" t="n">
        <v>1</v>
      </c>
      <c r="P420" s="8" t="n">
        <v>0</v>
      </c>
      <c r="Q420" s="8" t="n">
        <v>0</v>
      </c>
      <c r="R420" s="8" t="n">
        <v>0</v>
      </c>
      <c r="S420" s="8" t="n">
        <v>0</v>
      </c>
      <c r="T420" s="8" t="n">
        <v>1</v>
      </c>
      <c r="U420" s="8" t="n">
        <v>0</v>
      </c>
      <c r="V420" s="8" t="n">
        <v>0</v>
      </c>
      <c r="W420" s="8" t="n">
        <v>1</v>
      </c>
      <c r="X420" s="8" t="n">
        <v>0</v>
      </c>
      <c r="Y420" s="8" t="n">
        <v>0</v>
      </c>
      <c r="Z420" s="8" t="n">
        <v>0</v>
      </c>
      <c r="AA420" s="8" t="n">
        <v>0</v>
      </c>
      <c r="AB420" s="8" t="n">
        <v>0</v>
      </c>
      <c r="AC420" s="8" t="n">
        <v>0</v>
      </c>
      <c r="AD420" s="8" t="n">
        <v>0</v>
      </c>
    </row>
    <row r="421" customFormat="false" ht="15" hidden="false" customHeight="false" outlineLevel="0" collapsed="false">
      <c r="A421" s="38" t="s">
        <v>2300</v>
      </c>
      <c r="B421" s="8" t="s">
        <v>2301</v>
      </c>
      <c r="C421" s="39" t="n">
        <v>965</v>
      </c>
      <c r="D421" s="40" t="n">
        <v>46316</v>
      </c>
      <c r="E421" s="8" t="n">
        <v>26</v>
      </c>
      <c r="F421" s="39" t="n">
        <v>454</v>
      </c>
      <c r="G421" s="39" t="n">
        <v>22</v>
      </c>
      <c r="H421" s="39" t="n">
        <v>2</v>
      </c>
      <c r="I421" s="39" t="n">
        <v>0</v>
      </c>
      <c r="J421" s="39" t="n">
        <v>5</v>
      </c>
      <c r="K421" s="8" t="s">
        <v>1240</v>
      </c>
      <c r="L421" s="41" t="s">
        <v>2302</v>
      </c>
      <c r="M421" s="42" t="n">
        <f aca="false">IFERROR(I421/F421,0)</f>
        <v>0</v>
      </c>
      <c r="N421" s="42" t="n">
        <f aca="false">IFERROR(J421/F421,0)</f>
        <v>0.0110132158590308</v>
      </c>
      <c r="O421" s="8" t="n">
        <v>0</v>
      </c>
      <c r="P421" s="8" t="n">
        <v>0</v>
      </c>
      <c r="Q421" s="8" t="n">
        <v>0</v>
      </c>
      <c r="R421" s="8" t="n">
        <v>0</v>
      </c>
      <c r="S421" s="8" t="n">
        <v>0</v>
      </c>
      <c r="T421" s="8" t="n">
        <v>1</v>
      </c>
      <c r="U421" s="8" t="n">
        <v>0</v>
      </c>
      <c r="V421" s="8" t="n">
        <v>0</v>
      </c>
      <c r="W421" s="8" t="n">
        <v>0</v>
      </c>
      <c r="X421" s="8" t="n">
        <v>1</v>
      </c>
      <c r="Y421" s="8" t="n">
        <v>0</v>
      </c>
      <c r="Z421" s="8" t="n">
        <v>0</v>
      </c>
      <c r="AA421" s="8" t="n">
        <v>0</v>
      </c>
      <c r="AB421" s="8" t="n">
        <v>0</v>
      </c>
      <c r="AC421" s="8" t="n">
        <v>0</v>
      </c>
      <c r="AD421" s="8" t="n">
        <v>0</v>
      </c>
    </row>
    <row r="422" customFormat="false" ht="15" hidden="false" customHeight="false" outlineLevel="0" collapsed="false">
      <c r="A422" s="38" t="s">
        <v>2303</v>
      </c>
      <c r="B422" s="8" t="s">
        <v>2030</v>
      </c>
      <c r="C422" s="39" t="n">
        <v>2655</v>
      </c>
      <c r="D422" s="40" t="n">
        <v>46316</v>
      </c>
      <c r="E422" s="8" t="n">
        <v>25</v>
      </c>
      <c r="F422" s="39" t="n">
        <v>444</v>
      </c>
      <c r="G422" s="39" t="n">
        <v>22</v>
      </c>
      <c r="H422" s="39" t="n">
        <v>1</v>
      </c>
      <c r="I422" s="39" t="n">
        <v>0</v>
      </c>
      <c r="J422" s="39" t="n">
        <v>3</v>
      </c>
      <c r="K422" s="8" t="s">
        <v>1243</v>
      </c>
      <c r="L422" s="41" t="s">
        <v>2031</v>
      </c>
      <c r="M422" s="42" t="n">
        <f aca="false">IFERROR(I422/F422,0)</f>
        <v>0</v>
      </c>
      <c r="N422" s="42" t="n">
        <f aca="false">IFERROR(J422/F422,0)</f>
        <v>0.00675675675675676</v>
      </c>
      <c r="O422" s="8" t="n">
        <v>0</v>
      </c>
      <c r="P422" s="8" t="n">
        <v>1</v>
      </c>
      <c r="Q422" s="8" t="n">
        <v>0</v>
      </c>
      <c r="R422" s="8" t="n">
        <v>1</v>
      </c>
      <c r="S422" s="8" t="n">
        <v>0</v>
      </c>
      <c r="T422" s="8" t="n">
        <v>0</v>
      </c>
      <c r="U422" s="8" t="n">
        <v>0</v>
      </c>
      <c r="V422" s="8" t="n">
        <v>0</v>
      </c>
      <c r="W422" s="8" t="n">
        <v>0</v>
      </c>
      <c r="X422" s="8" t="n">
        <v>0</v>
      </c>
      <c r="Y422" s="8" t="n">
        <v>0</v>
      </c>
      <c r="Z422" s="8" t="n">
        <v>0</v>
      </c>
      <c r="AA422" s="8" t="n">
        <v>0</v>
      </c>
      <c r="AB422" s="8" t="n">
        <v>0</v>
      </c>
      <c r="AC422" s="8" t="n">
        <v>0</v>
      </c>
      <c r="AD422" s="8" t="n">
        <v>0</v>
      </c>
    </row>
    <row r="423" customFormat="false" ht="15" hidden="false" customHeight="false" outlineLevel="0" collapsed="false">
      <c r="A423" s="38" t="s">
        <v>2304</v>
      </c>
      <c r="B423" s="8" t="s">
        <v>2115</v>
      </c>
      <c r="C423" s="39" t="n">
        <v>120000</v>
      </c>
      <c r="D423" s="40" t="n">
        <v>46316</v>
      </c>
      <c r="E423" s="8" t="n">
        <v>46</v>
      </c>
      <c r="F423" s="39" t="n">
        <v>441</v>
      </c>
      <c r="G423" s="39" t="n">
        <v>14</v>
      </c>
      <c r="H423" s="39" t="n">
        <v>1</v>
      </c>
      <c r="I423" s="39" t="n">
        <v>0</v>
      </c>
      <c r="J423" s="39" t="n">
        <v>0</v>
      </c>
      <c r="K423" s="8" t="s">
        <v>1240</v>
      </c>
      <c r="L423" s="41" t="s">
        <v>2305</v>
      </c>
      <c r="M423" s="42" t="n">
        <f aca="false">IFERROR(I423/F423,0)</f>
        <v>0</v>
      </c>
      <c r="N423" s="42" t="n">
        <f aca="false">IFERROR(J423/F423,0)</f>
        <v>0</v>
      </c>
      <c r="O423" s="8" t="n">
        <v>0</v>
      </c>
      <c r="P423" s="8" t="n">
        <v>0</v>
      </c>
      <c r="Q423" s="8" t="n">
        <v>0</v>
      </c>
      <c r="R423" s="8" t="n">
        <v>0</v>
      </c>
      <c r="S423" s="8" t="n">
        <v>0</v>
      </c>
      <c r="T423" s="8" t="n">
        <v>0</v>
      </c>
      <c r="U423" s="8" t="n">
        <v>0</v>
      </c>
      <c r="V423" s="8" t="n">
        <v>0</v>
      </c>
      <c r="W423" s="8" t="n">
        <v>1</v>
      </c>
      <c r="X423" s="8" t="n">
        <v>1</v>
      </c>
      <c r="Y423" s="8" t="n">
        <v>0</v>
      </c>
      <c r="Z423" s="8" t="n">
        <v>0</v>
      </c>
      <c r="AA423" s="8" t="n">
        <v>0</v>
      </c>
      <c r="AB423" s="8" t="n">
        <v>0</v>
      </c>
      <c r="AC423" s="8" t="n">
        <v>0</v>
      </c>
      <c r="AD423" s="8" t="n">
        <v>0</v>
      </c>
    </row>
    <row r="424" customFormat="false" ht="15" hidden="false" customHeight="false" outlineLevel="0" collapsed="false">
      <c r="A424" s="38" t="s">
        <v>2306</v>
      </c>
      <c r="B424" s="8" t="s">
        <v>2307</v>
      </c>
      <c r="C424" s="39" t="n">
        <v>4650</v>
      </c>
      <c r="D424" s="40" t="n">
        <v>46310</v>
      </c>
      <c r="E424" s="8" t="n">
        <v>8</v>
      </c>
      <c r="F424" s="39" t="n">
        <v>428</v>
      </c>
      <c r="G424" s="39" t="n">
        <v>52</v>
      </c>
      <c r="H424" s="39" t="n">
        <v>5</v>
      </c>
      <c r="I424" s="39" t="n">
        <v>1</v>
      </c>
      <c r="J424" s="39" t="n">
        <v>3</v>
      </c>
      <c r="K424" s="8" t="s">
        <v>1240</v>
      </c>
      <c r="L424" s="41" t="s">
        <v>2308</v>
      </c>
      <c r="M424" s="42" t="n">
        <f aca="false">IFERROR(I424/F424,0)</f>
        <v>0.00233644859813084</v>
      </c>
      <c r="N424" s="42" t="n">
        <f aca="false">IFERROR(J424/F424,0)</f>
        <v>0.00700934579439252</v>
      </c>
      <c r="O424" s="8" t="n">
        <v>0</v>
      </c>
      <c r="P424" s="8" t="n">
        <v>1</v>
      </c>
      <c r="Q424" s="8" t="n">
        <v>0</v>
      </c>
      <c r="R424" s="8" t="n">
        <v>0</v>
      </c>
      <c r="S424" s="8" t="n">
        <v>0</v>
      </c>
      <c r="T424" s="8" t="n">
        <v>0</v>
      </c>
      <c r="U424" s="8" t="n">
        <v>0</v>
      </c>
      <c r="V424" s="8" t="n">
        <v>0</v>
      </c>
      <c r="W424" s="8" t="n">
        <v>0</v>
      </c>
      <c r="X424" s="8" t="n">
        <v>0</v>
      </c>
      <c r="Y424" s="8" t="n">
        <v>0</v>
      </c>
      <c r="Z424" s="8" t="n">
        <v>0</v>
      </c>
      <c r="AA424" s="8" t="n">
        <v>0</v>
      </c>
      <c r="AB424" s="8" t="n">
        <v>0</v>
      </c>
      <c r="AC424" s="8" t="n">
        <v>0</v>
      </c>
      <c r="AD424" s="8" t="n">
        <v>0</v>
      </c>
    </row>
    <row r="425" customFormat="false" ht="15" hidden="false" customHeight="false" outlineLevel="0" collapsed="false">
      <c r="A425" s="38" t="s">
        <v>2309</v>
      </c>
      <c r="B425" s="8" t="s">
        <v>2286</v>
      </c>
      <c r="C425" s="39" t="n">
        <v>14600</v>
      </c>
      <c r="D425" s="40" t="n">
        <v>46310</v>
      </c>
      <c r="E425" s="8" t="n">
        <v>15</v>
      </c>
      <c r="F425" s="39" t="n">
        <v>427</v>
      </c>
      <c r="G425" s="39" t="n">
        <v>34</v>
      </c>
      <c r="H425" s="39" t="n">
        <v>3</v>
      </c>
      <c r="I425" s="39" t="n">
        <v>1</v>
      </c>
      <c r="J425" s="39" t="n">
        <v>0</v>
      </c>
      <c r="K425" s="8" t="s">
        <v>1240</v>
      </c>
      <c r="L425" s="41" t="s">
        <v>2310</v>
      </c>
      <c r="M425" s="42" t="n">
        <f aca="false">IFERROR(I425/F425,0)</f>
        <v>0.00234192037470726</v>
      </c>
      <c r="N425" s="42" t="n">
        <f aca="false">IFERROR(J425/F425,0)</f>
        <v>0</v>
      </c>
      <c r="O425" s="8" t="n">
        <v>0</v>
      </c>
      <c r="P425" s="8" t="n">
        <v>0</v>
      </c>
      <c r="Q425" s="8" t="n">
        <v>0</v>
      </c>
      <c r="R425" s="8" t="n">
        <v>0</v>
      </c>
      <c r="S425" s="8" t="n">
        <v>0</v>
      </c>
      <c r="T425" s="8" t="n">
        <v>0</v>
      </c>
      <c r="U425" s="8" t="n">
        <v>0</v>
      </c>
      <c r="V425" s="8" t="n">
        <v>0</v>
      </c>
      <c r="W425" s="8" t="n">
        <v>1</v>
      </c>
      <c r="X425" s="8" t="n">
        <v>0</v>
      </c>
      <c r="Y425" s="8" t="n">
        <v>0</v>
      </c>
      <c r="Z425" s="8" t="n">
        <v>0</v>
      </c>
      <c r="AA425" s="8" t="n">
        <v>0</v>
      </c>
      <c r="AB425" s="8" t="n">
        <v>0</v>
      </c>
      <c r="AC425" s="8" t="n">
        <v>0</v>
      </c>
      <c r="AD425" s="8" t="n">
        <v>0</v>
      </c>
    </row>
    <row r="426" customFormat="false" ht="15" hidden="false" customHeight="false" outlineLevel="0" collapsed="false">
      <c r="A426" s="38" t="s">
        <v>2311</v>
      </c>
      <c r="B426" s="8" t="s">
        <v>2286</v>
      </c>
      <c r="C426" s="39" t="n">
        <v>14600</v>
      </c>
      <c r="D426" s="40" t="n">
        <v>46315</v>
      </c>
      <c r="E426" s="8" t="n">
        <v>13</v>
      </c>
      <c r="F426" s="39" t="n">
        <v>423</v>
      </c>
      <c r="G426" s="39" t="n">
        <v>26</v>
      </c>
      <c r="H426" s="39" t="n">
        <v>0</v>
      </c>
      <c r="I426" s="39" t="n">
        <v>3</v>
      </c>
      <c r="J426" s="39" t="n">
        <v>1</v>
      </c>
      <c r="K426" s="8" t="s">
        <v>1240</v>
      </c>
      <c r="L426" s="41" t="s">
        <v>2312</v>
      </c>
      <c r="M426" s="42" t="n">
        <f aca="false">IFERROR(I426/F426,0)</f>
        <v>0.00709219858156028</v>
      </c>
      <c r="N426" s="42" t="n">
        <f aca="false">IFERROR(J426/F426,0)</f>
        <v>0.00236406619385343</v>
      </c>
      <c r="O426" s="8" t="n">
        <v>0</v>
      </c>
      <c r="P426" s="8" t="n">
        <v>0</v>
      </c>
      <c r="Q426" s="8" t="n">
        <v>0</v>
      </c>
      <c r="R426" s="8" t="n">
        <v>0</v>
      </c>
      <c r="S426" s="8" t="n">
        <v>0</v>
      </c>
      <c r="T426" s="8" t="n">
        <v>0</v>
      </c>
      <c r="U426" s="8" t="n">
        <v>1</v>
      </c>
      <c r="V426" s="8" t="n">
        <v>1</v>
      </c>
      <c r="W426" s="8" t="n">
        <v>0</v>
      </c>
      <c r="X426" s="8" t="n">
        <v>0</v>
      </c>
      <c r="Y426" s="8" t="n">
        <v>0</v>
      </c>
      <c r="Z426" s="8" t="n">
        <v>1</v>
      </c>
      <c r="AA426" s="8" t="n">
        <v>0</v>
      </c>
      <c r="AB426" s="8" t="n">
        <v>1</v>
      </c>
      <c r="AC426" s="8" t="n">
        <v>0</v>
      </c>
      <c r="AD426" s="8" t="n">
        <v>0</v>
      </c>
    </row>
    <row r="427" customFormat="false" ht="15" hidden="false" customHeight="false" outlineLevel="0" collapsed="false">
      <c r="A427" s="38" t="s">
        <v>2313</v>
      </c>
      <c r="B427" s="8" t="s">
        <v>2314</v>
      </c>
      <c r="C427" s="39" t="n">
        <v>6361</v>
      </c>
      <c r="D427" s="40" t="n">
        <v>46309</v>
      </c>
      <c r="E427" s="8" t="n">
        <v>20</v>
      </c>
      <c r="F427" s="39" t="n">
        <v>413</v>
      </c>
      <c r="G427" s="39" t="n">
        <v>31</v>
      </c>
      <c r="H427" s="39" t="n">
        <v>0</v>
      </c>
      <c r="I427" s="39" t="n">
        <v>0</v>
      </c>
      <c r="J427" s="39" t="n">
        <v>2</v>
      </c>
      <c r="K427" s="8" t="s">
        <v>1243</v>
      </c>
      <c r="L427" s="41" t="s">
        <v>2315</v>
      </c>
      <c r="M427" s="42" t="n">
        <f aca="false">IFERROR(I427/F427,0)</f>
        <v>0</v>
      </c>
      <c r="N427" s="42" t="n">
        <f aca="false">IFERROR(J427/F427,0)</f>
        <v>0.00484261501210654</v>
      </c>
      <c r="O427" s="8" t="n">
        <v>0</v>
      </c>
      <c r="P427" s="8" t="n">
        <v>0</v>
      </c>
      <c r="Q427" s="8" t="n">
        <v>1</v>
      </c>
      <c r="R427" s="8" t="n">
        <v>0</v>
      </c>
      <c r="S427" s="8" t="n">
        <v>0</v>
      </c>
      <c r="T427" s="8" t="n">
        <v>0</v>
      </c>
      <c r="U427" s="8" t="n">
        <v>1</v>
      </c>
      <c r="V427" s="8" t="n">
        <v>1</v>
      </c>
      <c r="W427" s="8" t="n">
        <v>0</v>
      </c>
      <c r="X427" s="8" t="n">
        <v>0</v>
      </c>
      <c r="Y427" s="8" t="n">
        <v>0</v>
      </c>
      <c r="Z427" s="8" t="n">
        <v>0</v>
      </c>
      <c r="AA427" s="8" t="n">
        <v>0</v>
      </c>
      <c r="AB427" s="8" t="n">
        <v>0</v>
      </c>
      <c r="AC427" s="8" t="n">
        <v>0</v>
      </c>
      <c r="AD427" s="8" t="n">
        <v>0</v>
      </c>
    </row>
    <row r="428" customFormat="false" ht="15" hidden="false" customHeight="false" outlineLevel="0" collapsed="false">
      <c r="A428" s="38" t="s">
        <v>2316</v>
      </c>
      <c r="B428" s="8" t="s">
        <v>2317</v>
      </c>
      <c r="C428" s="39" t="n">
        <v>1146</v>
      </c>
      <c r="D428" s="40" t="n">
        <v>46311</v>
      </c>
      <c r="E428" s="8" t="n">
        <v>7</v>
      </c>
      <c r="F428" s="39" t="n">
        <v>403</v>
      </c>
      <c r="G428" s="39" t="n">
        <v>6</v>
      </c>
      <c r="H428" s="39" t="n">
        <v>0</v>
      </c>
      <c r="I428" s="39" t="n">
        <v>0</v>
      </c>
      <c r="J428" s="39" t="n">
        <v>0</v>
      </c>
      <c r="K428" s="8" t="s">
        <v>1240</v>
      </c>
      <c r="L428" s="41" t="s">
        <v>2318</v>
      </c>
      <c r="M428" s="42" t="n">
        <f aca="false">IFERROR(I428/F428,0)</f>
        <v>0</v>
      </c>
      <c r="N428" s="42" t="n">
        <f aca="false">IFERROR(J428/F428,0)</f>
        <v>0</v>
      </c>
      <c r="O428" s="8" t="n">
        <v>0</v>
      </c>
      <c r="P428" s="8" t="n">
        <v>0</v>
      </c>
      <c r="Q428" s="8" t="n">
        <v>0</v>
      </c>
      <c r="R428" s="8" t="n">
        <v>0</v>
      </c>
      <c r="S428" s="8" t="n">
        <v>0</v>
      </c>
      <c r="T428" s="8" t="n">
        <v>1</v>
      </c>
      <c r="U428" s="8" t="n">
        <v>1</v>
      </c>
      <c r="V428" s="8" t="n">
        <v>0</v>
      </c>
      <c r="W428" s="8" t="n">
        <v>1</v>
      </c>
      <c r="X428" s="8" t="n">
        <v>0</v>
      </c>
      <c r="Y428" s="8" t="n">
        <v>0</v>
      </c>
      <c r="Z428" s="8" t="n">
        <v>0</v>
      </c>
      <c r="AA428" s="8" t="n">
        <v>0</v>
      </c>
      <c r="AB428" s="8" t="n">
        <v>0</v>
      </c>
      <c r="AC428" s="8" t="n">
        <v>1</v>
      </c>
      <c r="AD428" s="8" t="n">
        <v>0</v>
      </c>
    </row>
    <row r="429" customFormat="false" ht="15" hidden="false" customHeight="false" outlineLevel="0" collapsed="false">
      <c r="A429" s="38" t="s">
        <v>2319</v>
      </c>
      <c r="B429" s="8" t="s">
        <v>2289</v>
      </c>
      <c r="C429" s="39" t="n">
        <v>70</v>
      </c>
      <c r="D429" s="40" t="n">
        <v>46310</v>
      </c>
      <c r="E429" s="8" t="n">
        <v>23</v>
      </c>
      <c r="F429" s="39" t="n">
        <v>399</v>
      </c>
      <c r="G429" s="39" t="n">
        <v>9</v>
      </c>
      <c r="H429" s="39" t="n">
        <v>1</v>
      </c>
      <c r="I429" s="39" t="n">
        <v>3</v>
      </c>
      <c r="J429" s="39" t="n">
        <v>2</v>
      </c>
      <c r="K429" s="8" t="s">
        <v>1240</v>
      </c>
      <c r="L429" s="41" t="s">
        <v>2320</v>
      </c>
      <c r="M429" s="42" t="n">
        <f aca="false">IFERROR(I429/F429,0)</f>
        <v>0.0075187969924812</v>
      </c>
      <c r="N429" s="42" t="n">
        <f aca="false">IFERROR(J429/F429,0)</f>
        <v>0.0050125313283208</v>
      </c>
      <c r="O429" s="8" t="n">
        <v>0</v>
      </c>
      <c r="P429" s="8" t="n">
        <v>1</v>
      </c>
      <c r="Q429" s="8" t="n">
        <v>0</v>
      </c>
      <c r="R429" s="8" t="n">
        <v>0</v>
      </c>
      <c r="S429" s="8" t="n">
        <v>0</v>
      </c>
      <c r="T429" s="8" t="n">
        <v>0</v>
      </c>
      <c r="U429" s="8" t="n">
        <v>0</v>
      </c>
      <c r="V429" s="8" t="n">
        <v>1</v>
      </c>
      <c r="W429" s="8" t="n">
        <v>0</v>
      </c>
      <c r="X429" s="8" t="n">
        <v>0</v>
      </c>
      <c r="Y429" s="8" t="n">
        <v>0</v>
      </c>
      <c r="Z429" s="8" t="n">
        <v>0</v>
      </c>
      <c r="AA429" s="8" t="n">
        <v>0</v>
      </c>
      <c r="AB429" s="8" t="n">
        <v>0</v>
      </c>
      <c r="AC429" s="8" t="n">
        <v>0</v>
      </c>
      <c r="AD429" s="8" t="n">
        <v>0</v>
      </c>
    </row>
    <row r="430" customFormat="false" ht="15" hidden="false" customHeight="false" outlineLevel="0" collapsed="false">
      <c r="A430" s="38" t="s">
        <v>2321</v>
      </c>
      <c r="B430" s="8" t="s">
        <v>2322</v>
      </c>
      <c r="C430" s="39" t="n">
        <v>9590</v>
      </c>
      <c r="D430" s="40" t="n">
        <v>46316</v>
      </c>
      <c r="E430" s="8" t="n">
        <v>32</v>
      </c>
      <c r="F430" s="39" t="n">
        <v>388</v>
      </c>
      <c r="G430" s="39" t="n">
        <v>29</v>
      </c>
      <c r="H430" s="39" t="n">
        <v>1</v>
      </c>
      <c r="I430" s="39" t="n">
        <v>5</v>
      </c>
      <c r="J430" s="39" t="n">
        <v>2</v>
      </c>
      <c r="K430" s="8" t="s">
        <v>1243</v>
      </c>
      <c r="L430" s="41" t="s">
        <v>2323</v>
      </c>
      <c r="M430" s="42" t="n">
        <f aca="false">IFERROR(I430/F430,0)</f>
        <v>0.0128865979381443</v>
      </c>
      <c r="N430" s="42" t="n">
        <f aca="false">IFERROR(J430/F430,0)</f>
        <v>0.00515463917525773</v>
      </c>
      <c r="O430" s="8" t="n">
        <v>1</v>
      </c>
      <c r="P430" s="8" t="n">
        <v>0</v>
      </c>
      <c r="Q430" s="8" t="n">
        <v>1</v>
      </c>
      <c r="R430" s="8" t="n">
        <v>0</v>
      </c>
      <c r="S430" s="8" t="n">
        <v>0</v>
      </c>
      <c r="T430" s="8" t="n">
        <v>0</v>
      </c>
      <c r="U430" s="8" t="n">
        <v>0</v>
      </c>
      <c r="V430" s="8" t="n">
        <v>0</v>
      </c>
      <c r="W430" s="8" t="n">
        <v>0</v>
      </c>
      <c r="X430" s="8" t="n">
        <v>0</v>
      </c>
      <c r="Y430" s="8" t="n">
        <v>0</v>
      </c>
      <c r="Z430" s="8" t="n">
        <v>0</v>
      </c>
      <c r="AA430" s="8" t="n">
        <v>0</v>
      </c>
      <c r="AB430" s="8" t="n">
        <v>0</v>
      </c>
      <c r="AC430" s="8" t="n">
        <v>0</v>
      </c>
      <c r="AD430" s="8" t="n">
        <v>0</v>
      </c>
    </row>
    <row r="431" customFormat="false" ht="15" hidden="false" customHeight="false" outlineLevel="0" collapsed="false">
      <c r="A431" s="38" t="s">
        <v>2324</v>
      </c>
      <c r="B431" s="8" t="s">
        <v>2325</v>
      </c>
      <c r="C431" s="39" t="n">
        <v>5141</v>
      </c>
      <c r="D431" s="40" t="n">
        <v>46316</v>
      </c>
      <c r="E431" s="8" t="n">
        <v>38</v>
      </c>
      <c r="F431" s="39" t="n">
        <v>380</v>
      </c>
      <c r="G431" s="39" t="n">
        <v>65</v>
      </c>
      <c r="H431" s="39" t="n">
        <v>14</v>
      </c>
      <c r="I431" s="39" t="n">
        <v>20</v>
      </c>
      <c r="J431" s="39" t="n">
        <v>7</v>
      </c>
      <c r="K431" s="8" t="s">
        <v>1240</v>
      </c>
      <c r="L431" s="41" t="s">
        <v>2326</v>
      </c>
      <c r="M431" s="42" t="n">
        <f aca="false">IFERROR(I431/F431,0)</f>
        <v>0.0526315789473684</v>
      </c>
      <c r="N431" s="42" t="n">
        <f aca="false">IFERROR(J431/F431,0)</f>
        <v>0.0184210526315789</v>
      </c>
      <c r="O431" s="8" t="n">
        <v>0</v>
      </c>
      <c r="P431" s="8" t="n">
        <v>0</v>
      </c>
      <c r="Q431" s="8" t="n">
        <v>0</v>
      </c>
      <c r="R431" s="8" t="n">
        <v>0</v>
      </c>
      <c r="S431" s="8" t="n">
        <v>0</v>
      </c>
      <c r="T431" s="8" t="n">
        <v>0</v>
      </c>
      <c r="U431" s="8" t="n">
        <v>0</v>
      </c>
      <c r="V431" s="8" t="n">
        <v>0</v>
      </c>
      <c r="W431" s="8" t="n">
        <v>1</v>
      </c>
      <c r="X431" s="8" t="n">
        <v>1</v>
      </c>
      <c r="Y431" s="8" t="n">
        <v>0</v>
      </c>
      <c r="Z431" s="8" t="n">
        <v>0</v>
      </c>
      <c r="AA431" s="8" t="n">
        <v>0</v>
      </c>
      <c r="AB431" s="8" t="n">
        <v>0</v>
      </c>
      <c r="AC431" s="8" t="n">
        <v>0</v>
      </c>
      <c r="AD431" s="8" t="n">
        <v>0</v>
      </c>
    </row>
    <row r="432" customFormat="false" ht="15" hidden="false" customHeight="false" outlineLevel="0" collapsed="false">
      <c r="A432" s="38" t="s">
        <v>2327</v>
      </c>
      <c r="B432" s="8" t="s">
        <v>2328</v>
      </c>
      <c r="C432" s="39" t="n">
        <v>1164</v>
      </c>
      <c r="D432" s="40" t="n">
        <v>46312</v>
      </c>
      <c r="E432" s="8" t="n">
        <v>34</v>
      </c>
      <c r="F432" s="39" t="n">
        <v>369</v>
      </c>
      <c r="G432" s="39" t="n">
        <v>25</v>
      </c>
      <c r="H432" s="39" t="n">
        <v>0</v>
      </c>
      <c r="I432" s="39" t="n">
        <v>0</v>
      </c>
      <c r="J432" s="39" t="n">
        <v>2</v>
      </c>
      <c r="K432" s="8" t="s">
        <v>1240</v>
      </c>
      <c r="L432" s="41" t="s">
        <v>2329</v>
      </c>
      <c r="M432" s="42" t="n">
        <f aca="false">IFERROR(I432/F432,0)</f>
        <v>0</v>
      </c>
      <c r="N432" s="42" t="n">
        <f aca="false">IFERROR(J432/F432,0)</f>
        <v>0.00542005420054201</v>
      </c>
      <c r="O432" s="8" t="n">
        <v>0</v>
      </c>
      <c r="P432" s="8" t="n">
        <v>0</v>
      </c>
      <c r="Q432" s="8" t="n">
        <v>0</v>
      </c>
      <c r="R432" s="8" t="n">
        <v>0</v>
      </c>
      <c r="S432" s="8" t="n">
        <v>0</v>
      </c>
      <c r="T432" s="8" t="n">
        <v>0</v>
      </c>
      <c r="U432" s="8" t="n">
        <v>0</v>
      </c>
      <c r="V432" s="8" t="n">
        <v>1</v>
      </c>
      <c r="W432" s="8" t="n">
        <v>0</v>
      </c>
      <c r="X432" s="8" t="n">
        <v>0</v>
      </c>
      <c r="Y432" s="8" t="n">
        <v>0</v>
      </c>
      <c r="Z432" s="8" t="n">
        <v>0</v>
      </c>
      <c r="AA432" s="8" t="n">
        <v>0</v>
      </c>
      <c r="AB432" s="8" t="n">
        <v>0</v>
      </c>
      <c r="AC432" s="8" t="n">
        <v>0</v>
      </c>
      <c r="AD432" s="8" t="n">
        <v>0</v>
      </c>
    </row>
    <row r="433" customFormat="false" ht="15" hidden="false" customHeight="false" outlineLevel="0" collapsed="false">
      <c r="A433" s="38" t="s">
        <v>2330</v>
      </c>
      <c r="B433" s="8" t="s">
        <v>1271</v>
      </c>
      <c r="C433" s="39" t="n">
        <v>74500</v>
      </c>
      <c r="D433" s="40" t="n">
        <v>46316</v>
      </c>
      <c r="E433" s="8" t="n">
        <v>95</v>
      </c>
      <c r="F433" s="39" t="n">
        <v>368</v>
      </c>
      <c r="G433" s="39" t="n">
        <v>10</v>
      </c>
      <c r="H433" s="39" t="n">
        <v>0</v>
      </c>
      <c r="I433" s="39" t="n">
        <v>0</v>
      </c>
      <c r="J433" s="39" t="n">
        <v>1</v>
      </c>
      <c r="K433" s="8" t="s">
        <v>1240</v>
      </c>
      <c r="L433" s="41" t="s">
        <v>2331</v>
      </c>
      <c r="M433" s="42" t="n">
        <f aca="false">IFERROR(I433/F433,0)</f>
        <v>0</v>
      </c>
      <c r="N433" s="42" t="n">
        <f aca="false">IFERROR(J433/F433,0)</f>
        <v>0.00271739130434783</v>
      </c>
      <c r="O433" s="8" t="n">
        <v>0</v>
      </c>
      <c r="P433" s="8" t="n">
        <v>0</v>
      </c>
      <c r="Q433" s="8" t="n">
        <v>0</v>
      </c>
      <c r="R433" s="8" t="n">
        <v>0</v>
      </c>
      <c r="S433" s="8" t="n">
        <v>0</v>
      </c>
      <c r="T433" s="8" t="n">
        <v>1</v>
      </c>
      <c r="U433" s="8" t="n">
        <v>0</v>
      </c>
      <c r="V433" s="8" t="n">
        <v>0</v>
      </c>
      <c r="W433" s="8" t="n">
        <v>0</v>
      </c>
      <c r="X433" s="8" t="n">
        <v>0</v>
      </c>
      <c r="Y433" s="8" t="n">
        <v>0</v>
      </c>
      <c r="Z433" s="8" t="n">
        <v>0</v>
      </c>
      <c r="AA433" s="8" t="n">
        <v>0</v>
      </c>
      <c r="AB433" s="8" t="n">
        <v>0</v>
      </c>
      <c r="AC433" s="8" t="n">
        <v>0</v>
      </c>
      <c r="AD433" s="8" t="n">
        <v>0</v>
      </c>
    </row>
    <row r="434" customFormat="false" ht="15" hidden="false" customHeight="false" outlineLevel="0" collapsed="false">
      <c r="A434" s="38" t="s">
        <v>2332</v>
      </c>
      <c r="B434" s="8" t="s">
        <v>2333</v>
      </c>
      <c r="C434" s="39" t="n">
        <v>299</v>
      </c>
      <c r="D434" s="40" t="n">
        <v>46309</v>
      </c>
      <c r="E434" s="8" t="n">
        <v>21</v>
      </c>
      <c r="F434" s="39" t="n">
        <v>367</v>
      </c>
      <c r="G434" s="39" t="n">
        <v>5</v>
      </c>
      <c r="H434" s="39" t="n">
        <v>0</v>
      </c>
      <c r="I434" s="39" t="n">
        <v>0</v>
      </c>
      <c r="J434" s="39" t="n">
        <v>0</v>
      </c>
      <c r="K434" s="8" t="s">
        <v>1243</v>
      </c>
      <c r="L434" s="41" t="s">
        <v>2334</v>
      </c>
      <c r="M434" s="42" t="n">
        <f aca="false">IFERROR(I434/F434,0)</f>
        <v>0</v>
      </c>
      <c r="N434" s="42" t="n">
        <f aca="false">IFERROR(J434/F434,0)</f>
        <v>0</v>
      </c>
      <c r="O434" s="8" t="n">
        <v>0</v>
      </c>
      <c r="P434" s="8" t="n">
        <v>0</v>
      </c>
      <c r="Q434" s="8" t="n">
        <v>0</v>
      </c>
      <c r="R434" s="8" t="n">
        <v>0</v>
      </c>
      <c r="S434" s="8" t="n">
        <v>0</v>
      </c>
      <c r="T434" s="8" t="n">
        <v>0</v>
      </c>
      <c r="U434" s="8" t="n">
        <v>1</v>
      </c>
      <c r="V434" s="8" t="n">
        <v>1</v>
      </c>
      <c r="W434" s="8" t="n">
        <v>0</v>
      </c>
      <c r="X434" s="8" t="n">
        <v>1</v>
      </c>
      <c r="Y434" s="8" t="n">
        <v>0</v>
      </c>
      <c r="Z434" s="8" t="n">
        <v>0</v>
      </c>
      <c r="AA434" s="8" t="n">
        <v>0</v>
      </c>
      <c r="AB434" s="8" t="n">
        <v>0</v>
      </c>
      <c r="AC434" s="8" t="n">
        <v>0</v>
      </c>
      <c r="AD434" s="8" t="n">
        <v>0</v>
      </c>
    </row>
    <row r="435" customFormat="false" ht="15" hidden="false" customHeight="false" outlineLevel="0" collapsed="false">
      <c r="A435" s="38" t="s">
        <v>2335</v>
      </c>
      <c r="B435" s="8" t="s">
        <v>2336</v>
      </c>
      <c r="C435" s="39" t="n">
        <v>39</v>
      </c>
      <c r="D435" s="40" t="n">
        <v>46316</v>
      </c>
      <c r="E435" s="8" t="n">
        <v>13</v>
      </c>
      <c r="F435" s="39" t="n">
        <v>357</v>
      </c>
      <c r="G435" s="39" t="n">
        <v>1</v>
      </c>
      <c r="H435" s="39" t="n">
        <v>0</v>
      </c>
      <c r="I435" s="39" t="n">
        <v>0</v>
      </c>
      <c r="J435" s="39" t="n">
        <v>0</v>
      </c>
      <c r="K435" s="8" t="s">
        <v>1243</v>
      </c>
      <c r="L435" s="41" t="s">
        <v>2337</v>
      </c>
      <c r="M435" s="42" t="n">
        <f aca="false">IFERROR(I435/F435,0)</f>
        <v>0</v>
      </c>
      <c r="N435" s="42" t="n">
        <f aca="false">IFERROR(J435/F435,0)</f>
        <v>0</v>
      </c>
      <c r="O435" s="8" t="n">
        <v>0</v>
      </c>
      <c r="P435" s="8" t="n">
        <v>1</v>
      </c>
      <c r="Q435" s="8" t="n">
        <v>0</v>
      </c>
      <c r="R435" s="8" t="n">
        <v>1</v>
      </c>
      <c r="S435" s="8" t="n">
        <v>0</v>
      </c>
      <c r="T435" s="8" t="n">
        <v>0</v>
      </c>
      <c r="U435" s="8" t="n">
        <v>0</v>
      </c>
      <c r="V435" s="8" t="n">
        <v>0</v>
      </c>
      <c r="W435" s="8" t="n">
        <v>0</v>
      </c>
      <c r="X435" s="8" t="n">
        <v>0</v>
      </c>
      <c r="Y435" s="8" t="n">
        <v>0</v>
      </c>
      <c r="Z435" s="8" t="n">
        <v>0</v>
      </c>
      <c r="AA435" s="8" t="n">
        <v>0</v>
      </c>
      <c r="AB435" s="8" t="n">
        <v>0</v>
      </c>
      <c r="AC435" s="8" t="n">
        <v>0</v>
      </c>
      <c r="AD435" s="8" t="n">
        <v>0</v>
      </c>
    </row>
    <row r="436" customFormat="false" ht="15" hidden="false" customHeight="false" outlineLevel="0" collapsed="false">
      <c r="A436" s="38" t="s">
        <v>2338</v>
      </c>
      <c r="B436" s="8" t="s">
        <v>2339</v>
      </c>
      <c r="C436" s="39" t="n">
        <v>22</v>
      </c>
      <c r="D436" s="40" t="n">
        <v>46316</v>
      </c>
      <c r="E436" s="8" t="n">
        <v>14</v>
      </c>
      <c r="F436" s="39" t="n">
        <v>345</v>
      </c>
      <c r="G436" s="39" t="n">
        <v>5</v>
      </c>
      <c r="H436" s="39" t="n">
        <v>1</v>
      </c>
      <c r="I436" s="39" t="n">
        <v>0</v>
      </c>
      <c r="J436" s="39" t="n">
        <v>1</v>
      </c>
      <c r="K436" s="8" t="s">
        <v>1240</v>
      </c>
      <c r="L436" s="41" t="s">
        <v>2340</v>
      </c>
      <c r="M436" s="42" t="n">
        <f aca="false">IFERROR(I436/F436,0)</f>
        <v>0</v>
      </c>
      <c r="N436" s="42" t="n">
        <f aca="false">IFERROR(J436/F436,0)</f>
        <v>0.00289855072463768</v>
      </c>
      <c r="O436" s="8" t="n">
        <v>0</v>
      </c>
      <c r="P436" s="8" t="n">
        <v>0</v>
      </c>
      <c r="Q436" s="8" t="n">
        <v>0</v>
      </c>
      <c r="R436" s="8" t="n">
        <v>0</v>
      </c>
      <c r="S436" s="8" t="n">
        <v>0</v>
      </c>
      <c r="T436" s="8" t="n">
        <v>0</v>
      </c>
      <c r="U436" s="8" t="n">
        <v>0</v>
      </c>
      <c r="V436" s="8" t="n">
        <v>0</v>
      </c>
      <c r="W436" s="8" t="n">
        <v>1</v>
      </c>
      <c r="X436" s="8" t="n">
        <v>1</v>
      </c>
      <c r="Y436" s="8" t="n">
        <v>0</v>
      </c>
      <c r="Z436" s="8" t="n">
        <v>0</v>
      </c>
      <c r="AA436" s="8" t="n">
        <v>0</v>
      </c>
      <c r="AB436" s="8" t="n">
        <v>0</v>
      </c>
      <c r="AC436" s="8" t="n">
        <v>0</v>
      </c>
      <c r="AD436" s="8" t="n">
        <v>0</v>
      </c>
    </row>
    <row r="437" customFormat="false" ht="15" hidden="false" customHeight="false" outlineLevel="0" collapsed="false">
      <c r="A437" s="38" t="s">
        <v>2341</v>
      </c>
      <c r="B437" s="8" t="s">
        <v>2123</v>
      </c>
      <c r="C437" s="39" t="n">
        <v>226</v>
      </c>
      <c r="D437" s="40" t="n">
        <v>46314</v>
      </c>
      <c r="E437" s="8" t="n">
        <v>35</v>
      </c>
      <c r="F437" s="39" t="n">
        <v>340</v>
      </c>
      <c r="G437" s="39" t="n">
        <v>6</v>
      </c>
      <c r="H437" s="39" t="n">
        <v>1</v>
      </c>
      <c r="I437" s="39" t="n">
        <v>3</v>
      </c>
      <c r="J437" s="39" t="n">
        <v>4</v>
      </c>
      <c r="K437" s="8" t="s">
        <v>1243</v>
      </c>
      <c r="L437" s="41" t="s">
        <v>2342</v>
      </c>
      <c r="M437" s="42" t="n">
        <f aca="false">IFERROR(I437/F437,0)</f>
        <v>0.00882352941176471</v>
      </c>
      <c r="N437" s="42" t="n">
        <f aca="false">IFERROR(J437/F437,0)</f>
        <v>0.0117647058823529</v>
      </c>
      <c r="O437" s="8" t="n">
        <v>0</v>
      </c>
      <c r="P437" s="8" t="n">
        <v>0</v>
      </c>
      <c r="Q437" s="8" t="n">
        <v>0</v>
      </c>
      <c r="R437" s="8" t="n">
        <v>0</v>
      </c>
      <c r="S437" s="8" t="n">
        <v>0</v>
      </c>
      <c r="T437" s="8" t="n">
        <v>0</v>
      </c>
      <c r="U437" s="8" t="n">
        <v>1</v>
      </c>
      <c r="V437" s="8" t="n">
        <v>0</v>
      </c>
      <c r="W437" s="8" t="n">
        <v>0</v>
      </c>
      <c r="X437" s="8" t="n">
        <v>0</v>
      </c>
      <c r="Y437" s="8" t="n">
        <v>0</v>
      </c>
      <c r="Z437" s="8" t="n">
        <v>0</v>
      </c>
      <c r="AA437" s="8" t="n">
        <v>0</v>
      </c>
      <c r="AB437" s="8" t="n">
        <v>0</v>
      </c>
      <c r="AC437" s="8" t="n">
        <v>0</v>
      </c>
      <c r="AD437" s="8" t="n">
        <v>0</v>
      </c>
    </row>
    <row r="438" customFormat="false" ht="15" hidden="false" customHeight="false" outlineLevel="0" collapsed="false">
      <c r="A438" s="38" t="s">
        <v>2343</v>
      </c>
      <c r="B438" s="8" t="s">
        <v>2289</v>
      </c>
      <c r="C438" s="39" t="n">
        <v>70</v>
      </c>
      <c r="D438" s="40" t="n">
        <v>46316</v>
      </c>
      <c r="E438" s="8" t="n">
        <v>25</v>
      </c>
      <c r="F438" s="39" t="n">
        <v>334</v>
      </c>
      <c r="G438" s="39" t="n">
        <v>8</v>
      </c>
      <c r="H438" s="39" t="n">
        <v>0</v>
      </c>
      <c r="I438" s="39" t="n">
        <v>0</v>
      </c>
      <c r="J438" s="39" t="n">
        <v>0</v>
      </c>
      <c r="K438" s="8" t="s">
        <v>1240</v>
      </c>
      <c r="L438" s="41" t="s">
        <v>2344</v>
      </c>
      <c r="M438" s="42" t="n">
        <f aca="false">IFERROR(I438/F438,0)</f>
        <v>0</v>
      </c>
      <c r="N438" s="42" t="n">
        <f aca="false">IFERROR(J438/F438,0)</f>
        <v>0</v>
      </c>
      <c r="O438" s="8" t="n">
        <v>0</v>
      </c>
      <c r="P438" s="8" t="n">
        <v>1</v>
      </c>
      <c r="Q438" s="8" t="n">
        <v>0</v>
      </c>
      <c r="R438" s="8" t="n">
        <v>0</v>
      </c>
      <c r="S438" s="8" t="n">
        <v>0</v>
      </c>
      <c r="T438" s="8" t="n">
        <v>0</v>
      </c>
      <c r="U438" s="8" t="n">
        <v>0</v>
      </c>
      <c r="V438" s="8" t="n">
        <v>1</v>
      </c>
      <c r="W438" s="8" t="n">
        <v>0</v>
      </c>
      <c r="X438" s="8" t="n">
        <v>0</v>
      </c>
      <c r="Y438" s="8" t="n">
        <v>0</v>
      </c>
      <c r="Z438" s="8" t="n">
        <v>0</v>
      </c>
      <c r="AA438" s="8" t="n">
        <v>0</v>
      </c>
      <c r="AB438" s="8" t="n">
        <v>0</v>
      </c>
      <c r="AC438" s="8" t="n">
        <v>1</v>
      </c>
      <c r="AD438" s="8" t="n">
        <v>0</v>
      </c>
    </row>
    <row r="439" customFormat="false" ht="15" hidden="false" customHeight="false" outlineLevel="0" collapsed="false">
      <c r="A439" s="38" t="s">
        <v>2345</v>
      </c>
      <c r="B439" s="8" t="s">
        <v>2346</v>
      </c>
      <c r="C439" s="39" t="n">
        <v>166</v>
      </c>
      <c r="D439" s="40" t="n">
        <v>46315</v>
      </c>
      <c r="E439" s="8" t="n">
        <v>9</v>
      </c>
      <c r="F439" s="39" t="n">
        <v>329</v>
      </c>
      <c r="G439" s="39" t="n">
        <v>8</v>
      </c>
      <c r="H439" s="39" t="n">
        <v>2</v>
      </c>
      <c r="I439" s="39" t="n">
        <v>0</v>
      </c>
      <c r="J439" s="39" t="n">
        <v>0</v>
      </c>
      <c r="K439" s="8" t="s">
        <v>1240</v>
      </c>
      <c r="L439" s="41" t="s">
        <v>2347</v>
      </c>
      <c r="M439" s="42" t="n">
        <f aca="false">IFERROR(I439/F439,0)</f>
        <v>0</v>
      </c>
      <c r="N439" s="42" t="n">
        <f aca="false">IFERROR(J439/F439,0)</f>
        <v>0</v>
      </c>
      <c r="O439" s="8" t="n">
        <v>0</v>
      </c>
      <c r="P439" s="8" t="n">
        <v>0</v>
      </c>
      <c r="Q439" s="8" t="n">
        <v>0</v>
      </c>
      <c r="R439" s="8" t="n">
        <v>0</v>
      </c>
      <c r="S439" s="8" t="n">
        <v>0</v>
      </c>
      <c r="T439" s="8" t="n">
        <v>0</v>
      </c>
      <c r="U439" s="8" t="n">
        <v>0</v>
      </c>
      <c r="V439" s="8" t="n">
        <v>1</v>
      </c>
      <c r="W439" s="8" t="n">
        <v>0</v>
      </c>
      <c r="X439" s="8" t="n">
        <v>0</v>
      </c>
      <c r="Y439" s="8" t="n">
        <v>0</v>
      </c>
      <c r="Z439" s="8" t="n">
        <v>0</v>
      </c>
      <c r="AA439" s="8" t="n">
        <v>0</v>
      </c>
      <c r="AB439" s="8" t="n">
        <v>0</v>
      </c>
      <c r="AC439" s="8" t="n">
        <v>0</v>
      </c>
      <c r="AD439" s="8" t="n">
        <v>0</v>
      </c>
    </row>
    <row r="440" customFormat="false" ht="15" hidden="false" customHeight="false" outlineLevel="0" collapsed="false">
      <c r="A440" s="38" t="s">
        <v>2348</v>
      </c>
      <c r="B440" s="8" t="s">
        <v>2349</v>
      </c>
      <c r="C440" s="39" t="n">
        <v>74500</v>
      </c>
      <c r="D440" s="40" t="n">
        <v>46316</v>
      </c>
      <c r="E440" s="8" t="n">
        <v>60</v>
      </c>
      <c r="F440" s="39" t="n">
        <v>321</v>
      </c>
      <c r="G440" s="39" t="n">
        <v>15</v>
      </c>
      <c r="H440" s="39" t="n">
        <v>0</v>
      </c>
      <c r="I440" s="39" t="n">
        <v>0</v>
      </c>
      <c r="J440" s="39" t="n">
        <v>0</v>
      </c>
      <c r="K440" s="8" t="s">
        <v>1240</v>
      </c>
      <c r="L440" s="41" t="s">
        <v>2350</v>
      </c>
      <c r="M440" s="42" t="n">
        <f aca="false">IFERROR(I440/F440,0)</f>
        <v>0</v>
      </c>
      <c r="N440" s="42" t="n">
        <f aca="false">IFERROR(J440/F440,0)</f>
        <v>0</v>
      </c>
      <c r="O440" s="8" t="n">
        <v>0</v>
      </c>
      <c r="P440" s="8" t="n">
        <v>0</v>
      </c>
      <c r="Q440" s="8" t="n">
        <v>1</v>
      </c>
      <c r="R440" s="8" t="n">
        <v>0</v>
      </c>
      <c r="S440" s="8" t="n">
        <v>0</v>
      </c>
      <c r="T440" s="8" t="n">
        <v>0</v>
      </c>
      <c r="U440" s="8" t="n">
        <v>0</v>
      </c>
      <c r="V440" s="8" t="n">
        <v>0</v>
      </c>
      <c r="W440" s="8" t="n">
        <v>1</v>
      </c>
      <c r="X440" s="8" t="n">
        <v>1</v>
      </c>
      <c r="Y440" s="8" t="n">
        <v>0</v>
      </c>
      <c r="Z440" s="8" t="n">
        <v>0</v>
      </c>
      <c r="AA440" s="8" t="n">
        <v>0</v>
      </c>
      <c r="AB440" s="8" t="n">
        <v>0</v>
      </c>
      <c r="AC440" s="8" t="n">
        <v>0</v>
      </c>
      <c r="AD440" s="8" t="n">
        <v>0</v>
      </c>
    </row>
    <row r="441" customFormat="false" ht="15" hidden="false" customHeight="false" outlineLevel="0" collapsed="false">
      <c r="A441" s="38" t="s">
        <v>2351</v>
      </c>
      <c r="B441" s="8" t="s">
        <v>1496</v>
      </c>
      <c r="C441" s="39" t="n">
        <v>12800</v>
      </c>
      <c r="D441" s="40" t="n">
        <v>46315</v>
      </c>
      <c r="E441" s="8" t="n">
        <v>14</v>
      </c>
      <c r="F441" s="39" t="n">
        <v>320</v>
      </c>
      <c r="G441" s="39" t="n">
        <v>5</v>
      </c>
      <c r="H441" s="39" t="n">
        <v>1</v>
      </c>
      <c r="I441" s="39" t="n">
        <v>0</v>
      </c>
      <c r="J441" s="39" t="n">
        <v>0</v>
      </c>
      <c r="K441" s="8" t="s">
        <v>1243</v>
      </c>
      <c r="L441" s="41" t="s">
        <v>1497</v>
      </c>
      <c r="M441" s="42" t="n">
        <f aca="false">IFERROR(I441/F441,0)</f>
        <v>0</v>
      </c>
      <c r="N441" s="42" t="n">
        <f aca="false">IFERROR(J441/F441,0)</f>
        <v>0</v>
      </c>
      <c r="O441" s="8" t="n">
        <v>0</v>
      </c>
      <c r="P441" s="8" t="n">
        <v>0</v>
      </c>
      <c r="Q441" s="8" t="n">
        <v>1</v>
      </c>
      <c r="R441" s="8" t="n">
        <v>0</v>
      </c>
      <c r="S441" s="8" t="n">
        <v>0</v>
      </c>
      <c r="T441" s="8" t="n">
        <v>0</v>
      </c>
      <c r="U441" s="8" t="n">
        <v>1</v>
      </c>
      <c r="V441" s="8" t="n">
        <v>1</v>
      </c>
      <c r="W441" s="8" t="n">
        <v>0</v>
      </c>
      <c r="X441" s="8" t="n">
        <v>0</v>
      </c>
      <c r="Y441" s="8" t="n">
        <v>0</v>
      </c>
      <c r="Z441" s="8" t="n">
        <v>0</v>
      </c>
      <c r="AA441" s="8" t="n">
        <v>0</v>
      </c>
      <c r="AB441" s="8" t="n">
        <v>0</v>
      </c>
      <c r="AC441" s="8" t="n">
        <v>0</v>
      </c>
      <c r="AD441" s="8" t="n">
        <v>0</v>
      </c>
    </row>
    <row r="442" customFormat="false" ht="15" hidden="false" customHeight="false" outlineLevel="0" collapsed="false">
      <c r="A442" s="38" t="s">
        <v>2352</v>
      </c>
      <c r="B442" s="8" t="s">
        <v>2353</v>
      </c>
      <c r="C442" s="39" t="n">
        <v>156</v>
      </c>
      <c r="D442" s="40" t="n">
        <v>46314</v>
      </c>
      <c r="E442" s="8" t="n">
        <v>69</v>
      </c>
      <c r="F442" s="39" t="n">
        <v>289</v>
      </c>
      <c r="G442" s="39" t="n">
        <v>10</v>
      </c>
      <c r="H442" s="39" t="n">
        <v>1</v>
      </c>
      <c r="I442" s="39" t="n">
        <v>0</v>
      </c>
      <c r="J442" s="39" t="n">
        <v>3</v>
      </c>
      <c r="K442" s="8" t="s">
        <v>1240</v>
      </c>
      <c r="L442" s="41" t="s">
        <v>2354</v>
      </c>
      <c r="M442" s="42" t="n">
        <f aca="false">IFERROR(I442/F442,0)</f>
        <v>0</v>
      </c>
      <c r="N442" s="42" t="n">
        <f aca="false">IFERROR(J442/F442,0)</f>
        <v>0.0103806228373702</v>
      </c>
      <c r="O442" s="8" t="n">
        <v>0</v>
      </c>
      <c r="P442" s="8" t="n">
        <v>0</v>
      </c>
      <c r="Q442" s="8" t="n">
        <v>0</v>
      </c>
      <c r="R442" s="8" t="n">
        <v>0</v>
      </c>
      <c r="S442" s="8" t="n">
        <v>0</v>
      </c>
      <c r="T442" s="8" t="n">
        <v>1</v>
      </c>
      <c r="U442" s="8" t="n">
        <v>0</v>
      </c>
      <c r="V442" s="8" t="n">
        <v>0</v>
      </c>
      <c r="W442" s="8" t="n">
        <v>0</v>
      </c>
      <c r="X442" s="8" t="n">
        <v>1</v>
      </c>
      <c r="Y442" s="8" t="n">
        <v>0</v>
      </c>
      <c r="Z442" s="8" t="n">
        <v>0</v>
      </c>
      <c r="AA442" s="8" t="n">
        <v>0</v>
      </c>
      <c r="AB442" s="8" t="n">
        <v>0</v>
      </c>
      <c r="AC442" s="8" t="n">
        <v>0</v>
      </c>
      <c r="AD442" s="8" t="n">
        <v>0</v>
      </c>
    </row>
    <row r="443" customFormat="false" ht="15" hidden="false" customHeight="false" outlineLevel="0" collapsed="false">
      <c r="A443" s="38" t="s">
        <v>2355</v>
      </c>
      <c r="B443" s="8" t="s">
        <v>2356</v>
      </c>
      <c r="C443" s="39" t="n">
        <v>4880</v>
      </c>
      <c r="D443" s="40" t="n">
        <v>46316</v>
      </c>
      <c r="E443" s="8" t="n">
        <v>14</v>
      </c>
      <c r="F443" s="39" t="n">
        <v>282</v>
      </c>
      <c r="G443" s="39" t="n">
        <v>4</v>
      </c>
      <c r="H443" s="39" t="n">
        <v>0</v>
      </c>
      <c r="I443" s="39" t="n">
        <v>1</v>
      </c>
      <c r="J443" s="39" t="n">
        <v>0</v>
      </c>
      <c r="K443" s="8" t="s">
        <v>1240</v>
      </c>
      <c r="L443" s="41" t="s">
        <v>2357</v>
      </c>
      <c r="M443" s="42" t="n">
        <f aca="false">IFERROR(I443/F443,0)</f>
        <v>0.00354609929078014</v>
      </c>
      <c r="N443" s="42" t="n">
        <f aca="false">IFERROR(J443/F443,0)</f>
        <v>0</v>
      </c>
      <c r="O443" s="8" t="n">
        <v>0</v>
      </c>
      <c r="P443" s="8" t="n">
        <v>0</v>
      </c>
      <c r="Q443" s="8" t="n">
        <v>0</v>
      </c>
      <c r="R443" s="8" t="n">
        <v>0</v>
      </c>
      <c r="S443" s="8" t="n">
        <v>0</v>
      </c>
      <c r="T443" s="8" t="n">
        <v>0</v>
      </c>
      <c r="U443" s="8" t="n">
        <v>0</v>
      </c>
      <c r="V443" s="8" t="n">
        <v>0</v>
      </c>
      <c r="W443" s="8" t="n">
        <v>0</v>
      </c>
      <c r="X443" s="8" t="n">
        <v>0</v>
      </c>
      <c r="Y443" s="8" t="n">
        <v>0</v>
      </c>
      <c r="Z443" s="8" t="n">
        <v>0</v>
      </c>
      <c r="AA443" s="8" t="n">
        <v>0</v>
      </c>
      <c r="AB443" s="8" t="n">
        <v>0</v>
      </c>
      <c r="AC443" s="8" t="n">
        <v>0</v>
      </c>
      <c r="AD443" s="8" t="n">
        <v>0</v>
      </c>
    </row>
    <row r="444" customFormat="false" ht="15" hidden="false" customHeight="false" outlineLevel="0" collapsed="false">
      <c r="A444" s="38" t="s">
        <v>2358</v>
      </c>
      <c r="B444" s="8" t="s">
        <v>2353</v>
      </c>
      <c r="C444" s="39" t="n">
        <v>156</v>
      </c>
      <c r="D444" s="40" t="n">
        <v>46314</v>
      </c>
      <c r="E444" s="8" t="n">
        <v>55</v>
      </c>
      <c r="F444" s="39" t="n">
        <v>270</v>
      </c>
      <c r="G444" s="39" t="n">
        <v>13</v>
      </c>
      <c r="H444" s="39" t="n">
        <v>0</v>
      </c>
      <c r="I444" s="39" t="n">
        <v>0</v>
      </c>
      <c r="J444" s="39" t="n">
        <v>1</v>
      </c>
      <c r="K444" s="8" t="s">
        <v>1240</v>
      </c>
      <c r="L444" s="41" t="s">
        <v>2359</v>
      </c>
      <c r="M444" s="42" t="n">
        <f aca="false">IFERROR(I444/F444,0)</f>
        <v>0</v>
      </c>
      <c r="N444" s="42" t="n">
        <f aca="false">IFERROR(J444/F444,0)</f>
        <v>0.0037037037037037</v>
      </c>
      <c r="O444" s="8" t="n">
        <v>0</v>
      </c>
      <c r="P444" s="8" t="n">
        <v>0</v>
      </c>
      <c r="Q444" s="8" t="n">
        <v>0</v>
      </c>
      <c r="R444" s="8" t="n">
        <v>0</v>
      </c>
      <c r="S444" s="8" t="n">
        <v>0</v>
      </c>
      <c r="T444" s="8" t="n">
        <v>1</v>
      </c>
      <c r="U444" s="8" t="n">
        <v>0</v>
      </c>
      <c r="V444" s="8" t="n">
        <v>0</v>
      </c>
      <c r="W444" s="8" t="n">
        <v>0</v>
      </c>
      <c r="X444" s="8" t="n">
        <v>0</v>
      </c>
      <c r="Y444" s="8" t="n">
        <v>0</v>
      </c>
      <c r="Z444" s="8" t="n">
        <v>0</v>
      </c>
      <c r="AA444" s="8" t="n">
        <v>0</v>
      </c>
      <c r="AB444" s="8" t="n">
        <v>0</v>
      </c>
      <c r="AC444" s="8" t="n">
        <v>0</v>
      </c>
      <c r="AD444" s="8" t="n">
        <v>0</v>
      </c>
    </row>
    <row r="445" customFormat="false" ht="15" hidden="false" customHeight="false" outlineLevel="0" collapsed="false">
      <c r="A445" s="38" t="s">
        <v>2360</v>
      </c>
      <c r="B445" s="8" t="s">
        <v>2361</v>
      </c>
      <c r="C445" s="39" t="n">
        <v>1191</v>
      </c>
      <c r="D445" s="40" t="n">
        <v>46315</v>
      </c>
      <c r="E445" s="8" t="n">
        <v>9</v>
      </c>
      <c r="F445" s="39" t="n">
        <v>266</v>
      </c>
      <c r="G445" s="39" t="n">
        <v>67</v>
      </c>
      <c r="H445" s="39" t="n">
        <v>20</v>
      </c>
      <c r="I445" s="39" t="n">
        <v>1</v>
      </c>
      <c r="J445" s="39" t="n">
        <v>0</v>
      </c>
      <c r="K445" s="8" t="s">
        <v>1240</v>
      </c>
      <c r="L445" s="41" t="s">
        <v>2362</v>
      </c>
      <c r="M445" s="42" t="n">
        <f aca="false">IFERROR(I445/F445,0)</f>
        <v>0.0037593984962406</v>
      </c>
      <c r="N445" s="42" t="n">
        <f aca="false">IFERROR(J445/F445,0)</f>
        <v>0</v>
      </c>
      <c r="O445" s="8" t="n">
        <v>0</v>
      </c>
      <c r="P445" s="8" t="n">
        <v>0</v>
      </c>
      <c r="Q445" s="8" t="n">
        <v>0</v>
      </c>
      <c r="R445" s="8" t="n">
        <v>0</v>
      </c>
      <c r="S445" s="8" t="n">
        <v>0</v>
      </c>
      <c r="T445" s="8" t="n">
        <v>0</v>
      </c>
      <c r="U445" s="8" t="n">
        <v>0</v>
      </c>
      <c r="V445" s="8" t="n">
        <v>0</v>
      </c>
      <c r="W445" s="8" t="n">
        <v>1</v>
      </c>
      <c r="X445" s="8" t="n">
        <v>1</v>
      </c>
      <c r="Y445" s="8" t="n">
        <v>0</v>
      </c>
      <c r="Z445" s="8" t="n">
        <v>0</v>
      </c>
      <c r="AA445" s="8" t="n">
        <v>0</v>
      </c>
      <c r="AB445" s="8" t="n">
        <v>0</v>
      </c>
      <c r="AC445" s="8" t="n">
        <v>0</v>
      </c>
      <c r="AD445" s="8" t="n">
        <v>0</v>
      </c>
    </row>
    <row r="446" customFormat="false" ht="15" hidden="false" customHeight="false" outlineLevel="0" collapsed="false">
      <c r="A446" s="38" t="s">
        <v>2363</v>
      </c>
      <c r="B446" s="8" t="s">
        <v>2364</v>
      </c>
      <c r="C446" s="39" t="n">
        <v>6541</v>
      </c>
      <c r="D446" s="40" t="n">
        <v>46316</v>
      </c>
      <c r="E446" s="8" t="n">
        <v>10</v>
      </c>
      <c r="F446" s="39" t="n">
        <v>239</v>
      </c>
      <c r="G446" s="39" t="n">
        <v>0</v>
      </c>
      <c r="H446" s="39" t="n">
        <v>0</v>
      </c>
      <c r="I446" s="39" t="n">
        <v>0</v>
      </c>
      <c r="J446" s="39" t="n">
        <v>0</v>
      </c>
      <c r="K446" s="8" t="s">
        <v>1240</v>
      </c>
      <c r="L446" s="41" t="s">
        <v>2365</v>
      </c>
      <c r="M446" s="42" t="n">
        <f aca="false">IFERROR(I446/F446,0)</f>
        <v>0</v>
      </c>
      <c r="N446" s="42" t="n">
        <f aca="false">IFERROR(J446/F446,0)</f>
        <v>0</v>
      </c>
      <c r="O446" s="8" t="n">
        <v>0</v>
      </c>
      <c r="P446" s="8" t="n">
        <v>0</v>
      </c>
      <c r="Q446" s="8" t="n">
        <v>0</v>
      </c>
      <c r="R446" s="8" t="n">
        <v>0</v>
      </c>
      <c r="S446" s="8" t="n">
        <v>0</v>
      </c>
      <c r="T446" s="8" t="n">
        <v>0</v>
      </c>
      <c r="U446" s="8" t="n">
        <v>0</v>
      </c>
      <c r="V446" s="8" t="n">
        <v>0</v>
      </c>
      <c r="W446" s="8" t="n">
        <v>1</v>
      </c>
      <c r="X446" s="8" t="n">
        <v>1</v>
      </c>
      <c r="Y446" s="8" t="n">
        <v>0</v>
      </c>
      <c r="Z446" s="8" t="n">
        <v>0</v>
      </c>
      <c r="AA446" s="8" t="n">
        <v>0</v>
      </c>
      <c r="AB446" s="8" t="n">
        <v>0</v>
      </c>
      <c r="AC446" s="8" t="n">
        <v>1</v>
      </c>
      <c r="AD446" s="8" t="n">
        <v>0</v>
      </c>
    </row>
    <row r="447" customFormat="false" ht="15" hidden="false" customHeight="false" outlineLevel="0" collapsed="false">
      <c r="A447" s="38" t="s">
        <v>2366</v>
      </c>
      <c r="B447" s="8" t="s">
        <v>2367</v>
      </c>
      <c r="C447" s="39" t="n">
        <v>14</v>
      </c>
      <c r="D447" s="40" t="n">
        <v>46315</v>
      </c>
      <c r="E447" s="8" t="n">
        <v>6</v>
      </c>
      <c r="F447" s="39" t="n">
        <v>231</v>
      </c>
      <c r="G447" s="39" t="n">
        <v>0</v>
      </c>
      <c r="H447" s="39" t="n">
        <v>0</v>
      </c>
      <c r="I447" s="39" t="n">
        <v>0</v>
      </c>
      <c r="J447" s="39" t="n">
        <v>0</v>
      </c>
      <c r="K447" s="8" t="s">
        <v>1240</v>
      </c>
      <c r="L447" s="41" t="s">
        <v>2368</v>
      </c>
      <c r="M447" s="42" t="n">
        <f aca="false">IFERROR(I447/F447,0)</f>
        <v>0</v>
      </c>
      <c r="N447" s="42" t="n">
        <f aca="false">IFERROR(J447/F447,0)</f>
        <v>0</v>
      </c>
      <c r="O447" s="8" t="n">
        <v>0</v>
      </c>
      <c r="P447" s="8" t="n">
        <v>0</v>
      </c>
      <c r="Q447" s="8" t="n">
        <v>0</v>
      </c>
      <c r="R447" s="8" t="n">
        <v>0</v>
      </c>
      <c r="S447" s="8" t="n">
        <v>0</v>
      </c>
      <c r="T447" s="8" t="n">
        <v>0</v>
      </c>
      <c r="U447" s="8" t="n">
        <v>0</v>
      </c>
      <c r="V447" s="8" t="n">
        <v>0</v>
      </c>
      <c r="W447" s="8" t="n">
        <v>1</v>
      </c>
      <c r="X447" s="8" t="n">
        <v>1</v>
      </c>
      <c r="Y447" s="8" t="n">
        <v>0</v>
      </c>
      <c r="Z447" s="8" t="n">
        <v>0</v>
      </c>
      <c r="AA447" s="8" t="n">
        <v>0</v>
      </c>
      <c r="AB447" s="8" t="n">
        <v>0</v>
      </c>
      <c r="AC447" s="8" t="n">
        <v>1</v>
      </c>
      <c r="AD447" s="8" t="n">
        <v>0</v>
      </c>
    </row>
    <row r="448" customFormat="false" ht="15" hidden="false" customHeight="false" outlineLevel="0" collapsed="false">
      <c r="A448" s="38" t="s">
        <v>2369</v>
      </c>
      <c r="B448" s="8" t="s">
        <v>2289</v>
      </c>
      <c r="C448" s="39" t="n">
        <v>70</v>
      </c>
      <c r="D448" s="40" t="n">
        <v>46311</v>
      </c>
      <c r="E448" s="8" t="n">
        <v>21</v>
      </c>
      <c r="F448" s="39" t="n">
        <v>226</v>
      </c>
      <c r="G448" s="39" t="n">
        <v>8</v>
      </c>
      <c r="H448" s="39" t="n">
        <v>1</v>
      </c>
      <c r="I448" s="39" t="n">
        <v>0</v>
      </c>
      <c r="J448" s="39" t="n">
        <v>1</v>
      </c>
      <c r="K448" s="8" t="s">
        <v>1240</v>
      </c>
      <c r="L448" s="41" t="s">
        <v>2370</v>
      </c>
      <c r="M448" s="42" t="n">
        <f aca="false">IFERROR(I448/F448,0)</f>
        <v>0</v>
      </c>
      <c r="N448" s="42" t="n">
        <f aca="false">IFERROR(J448/F448,0)</f>
        <v>0.00442477876106195</v>
      </c>
      <c r="O448" s="8" t="n">
        <v>0</v>
      </c>
      <c r="P448" s="8" t="n">
        <v>1</v>
      </c>
      <c r="Q448" s="8" t="n">
        <v>0</v>
      </c>
      <c r="R448" s="8" t="n">
        <v>0</v>
      </c>
      <c r="S448" s="8" t="n">
        <v>0</v>
      </c>
      <c r="T448" s="8" t="n">
        <v>0</v>
      </c>
      <c r="U448" s="8" t="n">
        <v>0</v>
      </c>
      <c r="V448" s="8" t="n">
        <v>1</v>
      </c>
      <c r="W448" s="8" t="n">
        <v>0</v>
      </c>
      <c r="X448" s="8" t="n">
        <v>0</v>
      </c>
      <c r="Y448" s="8" t="n">
        <v>0</v>
      </c>
      <c r="Z448" s="8" t="n">
        <v>0</v>
      </c>
      <c r="AA448" s="8" t="n">
        <v>0</v>
      </c>
      <c r="AB448" s="8" t="n">
        <v>0</v>
      </c>
      <c r="AC448" s="8" t="n">
        <v>0</v>
      </c>
      <c r="AD448" s="8" t="n">
        <v>0</v>
      </c>
    </row>
    <row r="449" customFormat="false" ht="15" hidden="false" customHeight="false" outlineLevel="0" collapsed="false">
      <c r="A449" s="38" t="s">
        <v>2371</v>
      </c>
      <c r="B449" s="8" t="s">
        <v>2372</v>
      </c>
      <c r="C449" s="39" t="n">
        <v>4</v>
      </c>
      <c r="D449" s="40" t="n">
        <v>46316</v>
      </c>
      <c r="E449" s="8" t="n">
        <v>12</v>
      </c>
      <c r="F449" s="39" t="n">
        <v>216</v>
      </c>
      <c r="G449" s="39" t="n">
        <v>4</v>
      </c>
      <c r="H449" s="39" t="n">
        <v>0</v>
      </c>
      <c r="I449" s="39" t="n">
        <v>1</v>
      </c>
      <c r="J449" s="39" t="n">
        <v>0</v>
      </c>
      <c r="K449" s="8" t="s">
        <v>1240</v>
      </c>
      <c r="L449" s="41" t="s">
        <v>2373</v>
      </c>
      <c r="M449" s="42" t="n">
        <f aca="false">IFERROR(I449/F449,0)</f>
        <v>0.00462962962962963</v>
      </c>
      <c r="N449" s="42" t="n">
        <f aca="false">IFERROR(J449/F449,0)</f>
        <v>0</v>
      </c>
      <c r="O449" s="8" t="n">
        <v>0</v>
      </c>
      <c r="P449" s="8" t="n">
        <v>1</v>
      </c>
      <c r="Q449" s="8" t="n">
        <v>0</v>
      </c>
      <c r="R449" s="8" t="n">
        <v>0</v>
      </c>
      <c r="S449" s="8" t="n">
        <v>0</v>
      </c>
      <c r="T449" s="8" t="n">
        <v>0</v>
      </c>
      <c r="U449" s="8" t="n">
        <v>0</v>
      </c>
      <c r="V449" s="8" t="n">
        <v>0</v>
      </c>
      <c r="W449" s="8" t="n">
        <v>1</v>
      </c>
      <c r="X449" s="8" t="n">
        <v>1</v>
      </c>
      <c r="Y449" s="8" t="n">
        <v>0</v>
      </c>
      <c r="Z449" s="8" t="n">
        <v>0</v>
      </c>
      <c r="AA449" s="8" t="n">
        <v>0</v>
      </c>
      <c r="AB449" s="8" t="n">
        <v>0</v>
      </c>
      <c r="AC449" s="8" t="n">
        <v>0</v>
      </c>
      <c r="AD449" s="8" t="n">
        <v>0</v>
      </c>
    </row>
    <row r="450" customFormat="false" ht="15" hidden="false" customHeight="false" outlineLevel="0" collapsed="false">
      <c r="A450" s="38" t="s">
        <v>2374</v>
      </c>
      <c r="B450" s="8" t="s">
        <v>2375</v>
      </c>
      <c r="C450" s="39" t="n">
        <v>16</v>
      </c>
      <c r="D450" s="40" t="n">
        <v>46304</v>
      </c>
      <c r="E450" s="8" t="n">
        <v>25</v>
      </c>
      <c r="F450" s="39" t="n">
        <v>167</v>
      </c>
      <c r="G450" s="39" t="n">
        <v>9</v>
      </c>
      <c r="H450" s="39" t="n">
        <v>2</v>
      </c>
      <c r="I450" s="39" t="n">
        <v>0</v>
      </c>
      <c r="J450" s="39" t="n">
        <v>3</v>
      </c>
      <c r="K450" s="8" t="s">
        <v>1240</v>
      </c>
      <c r="L450" s="41" t="s">
        <v>2376</v>
      </c>
      <c r="M450" s="42" t="n">
        <f aca="false">IFERROR(I450/F450,0)</f>
        <v>0</v>
      </c>
      <c r="N450" s="42" t="n">
        <f aca="false">IFERROR(J450/F450,0)</f>
        <v>0.0179640718562874</v>
      </c>
      <c r="O450" s="8" t="n">
        <v>0</v>
      </c>
      <c r="P450" s="8" t="n">
        <v>1</v>
      </c>
      <c r="Q450" s="8" t="n">
        <v>0</v>
      </c>
      <c r="R450" s="8" t="n">
        <v>0</v>
      </c>
      <c r="S450" s="8" t="n">
        <v>0</v>
      </c>
      <c r="T450" s="8" t="n">
        <v>0</v>
      </c>
      <c r="U450" s="8" t="n">
        <v>0</v>
      </c>
      <c r="V450" s="8" t="n">
        <v>0</v>
      </c>
      <c r="W450" s="8" t="n">
        <v>0</v>
      </c>
      <c r="X450" s="8" t="n">
        <v>1</v>
      </c>
      <c r="Y450" s="8" t="n">
        <v>0</v>
      </c>
      <c r="Z450" s="8" t="n">
        <v>0</v>
      </c>
      <c r="AA450" s="8" t="n">
        <v>0</v>
      </c>
      <c r="AB450" s="8" t="n">
        <v>0</v>
      </c>
      <c r="AC450" s="8" t="n">
        <v>0</v>
      </c>
      <c r="AD450" s="8" t="n">
        <v>0</v>
      </c>
    </row>
    <row r="451" customFormat="false" ht="15" hidden="false" customHeight="false" outlineLevel="0" collapsed="false">
      <c r="A451" s="38" t="s">
        <v>2377</v>
      </c>
      <c r="B451" s="8" t="s">
        <v>2378</v>
      </c>
      <c r="C451" s="39" t="n">
        <v>59</v>
      </c>
      <c r="D451" s="40" t="n">
        <v>46300</v>
      </c>
      <c r="E451" s="8" t="n">
        <v>14</v>
      </c>
      <c r="F451" s="39" t="n">
        <v>143</v>
      </c>
      <c r="G451" s="39" t="n">
        <v>2</v>
      </c>
      <c r="H451" s="39" t="n">
        <v>0</v>
      </c>
      <c r="I451" s="39" t="n">
        <v>0</v>
      </c>
      <c r="J451" s="39" t="n">
        <v>0</v>
      </c>
      <c r="K451" s="8" t="s">
        <v>1240</v>
      </c>
      <c r="L451" s="41" t="s">
        <v>2379</v>
      </c>
      <c r="M451" s="42" t="n">
        <f aca="false">IFERROR(I451/F451,0)</f>
        <v>0</v>
      </c>
      <c r="N451" s="42" t="n">
        <f aca="false">IFERROR(J451/F451,0)</f>
        <v>0</v>
      </c>
      <c r="O451" s="8" t="n">
        <v>0</v>
      </c>
      <c r="P451" s="8" t="n">
        <v>0</v>
      </c>
      <c r="Q451" s="8" t="n">
        <v>0</v>
      </c>
      <c r="R451" s="8" t="n">
        <v>0</v>
      </c>
      <c r="S451" s="8" t="n">
        <v>0</v>
      </c>
      <c r="T451" s="8" t="n">
        <v>0</v>
      </c>
      <c r="U451" s="8" t="n">
        <v>0</v>
      </c>
      <c r="V451" s="8" t="n">
        <v>0</v>
      </c>
      <c r="W451" s="8" t="n">
        <v>1</v>
      </c>
      <c r="X451" s="8" t="n">
        <v>1</v>
      </c>
      <c r="Y451" s="8" t="n">
        <v>0</v>
      </c>
      <c r="Z451" s="8" t="n">
        <v>0</v>
      </c>
      <c r="AA451" s="8" t="n">
        <v>0</v>
      </c>
      <c r="AB451" s="8" t="n">
        <v>0</v>
      </c>
      <c r="AC451" s="8" t="n">
        <v>0</v>
      </c>
      <c r="AD451" s="8" t="n">
        <v>0</v>
      </c>
    </row>
    <row r="452" customFormat="false" ht="15" hidden="false" customHeight="false" outlineLevel="0" collapsed="false">
      <c r="A452" s="38" t="s">
        <v>2380</v>
      </c>
      <c r="B452" s="8" t="s">
        <v>1307</v>
      </c>
      <c r="C452" s="39" t="n">
        <v>10400</v>
      </c>
      <c r="D452" s="40" t="n">
        <v>46309</v>
      </c>
      <c r="E452" s="8" t="n">
        <v>19</v>
      </c>
      <c r="F452" s="39" t="n">
        <v>139</v>
      </c>
      <c r="G452" s="39" t="n">
        <v>6</v>
      </c>
      <c r="H452" s="39" t="n">
        <v>1</v>
      </c>
      <c r="I452" s="39" t="n">
        <v>0</v>
      </c>
      <c r="J452" s="39" t="n">
        <v>0</v>
      </c>
      <c r="K452" s="8" t="s">
        <v>1240</v>
      </c>
      <c r="L452" s="41" t="s">
        <v>2381</v>
      </c>
      <c r="M452" s="42" t="n">
        <f aca="false">IFERROR(I452/F452,0)</f>
        <v>0</v>
      </c>
      <c r="N452" s="42" t="n">
        <f aca="false">IFERROR(J452/F452,0)</f>
        <v>0</v>
      </c>
      <c r="O452" s="8" t="n">
        <v>0</v>
      </c>
      <c r="P452" s="8" t="n">
        <v>0</v>
      </c>
      <c r="Q452" s="8" t="n">
        <v>0</v>
      </c>
      <c r="R452" s="8" t="n">
        <v>0</v>
      </c>
      <c r="S452" s="8" t="n">
        <v>0</v>
      </c>
      <c r="T452" s="8" t="n">
        <v>0</v>
      </c>
      <c r="U452" s="8" t="n">
        <v>0</v>
      </c>
      <c r="V452" s="8" t="n">
        <v>0</v>
      </c>
      <c r="W452" s="8" t="n">
        <v>1</v>
      </c>
      <c r="X452" s="8" t="n">
        <v>0</v>
      </c>
      <c r="Y452" s="8" t="n">
        <v>0</v>
      </c>
      <c r="Z452" s="8" t="n">
        <v>0</v>
      </c>
      <c r="AA452" s="8" t="n">
        <v>0</v>
      </c>
      <c r="AB452" s="8" t="n">
        <v>0</v>
      </c>
      <c r="AC452" s="8" t="n">
        <v>0</v>
      </c>
      <c r="AD452" s="8" t="n">
        <v>0</v>
      </c>
    </row>
    <row r="453" customFormat="false" ht="15" hidden="false" customHeight="false" outlineLevel="0" collapsed="false">
      <c r="A453" s="38" t="s">
        <v>2382</v>
      </c>
      <c r="B453" s="8" t="s">
        <v>2383</v>
      </c>
      <c r="C453" s="39" t="n">
        <v>12</v>
      </c>
      <c r="D453" s="40" t="n">
        <v>46316</v>
      </c>
      <c r="E453" s="8" t="n">
        <v>9</v>
      </c>
      <c r="F453" s="39" t="n">
        <v>136</v>
      </c>
      <c r="G453" s="39" t="n">
        <v>1</v>
      </c>
      <c r="H453" s="39" t="n">
        <v>0</v>
      </c>
      <c r="I453" s="39" t="n">
        <v>0</v>
      </c>
      <c r="J453" s="39" t="n">
        <v>0</v>
      </c>
      <c r="K453" s="8" t="s">
        <v>1240</v>
      </c>
      <c r="L453" s="41" t="s">
        <v>2384</v>
      </c>
      <c r="M453" s="42" t="n">
        <f aca="false">IFERROR(I453/F453,0)</f>
        <v>0</v>
      </c>
      <c r="N453" s="42" t="n">
        <f aca="false">IFERROR(J453/F453,0)</f>
        <v>0</v>
      </c>
      <c r="O453" s="8" t="n">
        <v>0</v>
      </c>
      <c r="P453" s="8" t="n">
        <v>0</v>
      </c>
      <c r="Q453" s="8" t="n">
        <v>0</v>
      </c>
      <c r="R453" s="8" t="n">
        <v>0</v>
      </c>
      <c r="S453" s="8" t="n">
        <v>0</v>
      </c>
      <c r="T453" s="8" t="n">
        <v>0</v>
      </c>
      <c r="U453" s="8" t="n">
        <v>0</v>
      </c>
      <c r="V453" s="8" t="n">
        <v>0</v>
      </c>
      <c r="W453" s="8" t="n">
        <v>1</v>
      </c>
      <c r="X453" s="8" t="n">
        <v>1</v>
      </c>
      <c r="Y453" s="8" t="n">
        <v>0</v>
      </c>
      <c r="Z453" s="8" t="n">
        <v>0</v>
      </c>
      <c r="AA453" s="8" t="n">
        <v>0</v>
      </c>
      <c r="AB453" s="8" t="n">
        <v>0</v>
      </c>
      <c r="AC453" s="8" t="n">
        <v>0</v>
      </c>
      <c r="AD453" s="8" t="n">
        <v>0</v>
      </c>
    </row>
    <row r="454" customFormat="false" ht="15" hidden="false" customHeight="false" outlineLevel="0" collapsed="false">
      <c r="A454" s="38" t="s">
        <v>2385</v>
      </c>
      <c r="B454" s="8" t="s">
        <v>1317</v>
      </c>
      <c r="C454" s="39" t="n">
        <v>2338</v>
      </c>
      <c r="D454" s="40" t="n">
        <v>46287</v>
      </c>
      <c r="E454" s="8" t="n">
        <v>21</v>
      </c>
      <c r="F454" s="39" t="n">
        <v>128</v>
      </c>
      <c r="G454" s="39" t="n">
        <v>0</v>
      </c>
      <c r="H454" s="39" t="n">
        <v>0</v>
      </c>
      <c r="I454" s="39" t="n">
        <v>0</v>
      </c>
      <c r="J454" s="39" t="n">
        <v>0</v>
      </c>
      <c r="K454" s="8" t="s">
        <v>1240</v>
      </c>
      <c r="L454" s="41" t="s">
        <v>2386</v>
      </c>
      <c r="M454" s="42" t="n">
        <f aca="false">IFERROR(I454/F454,0)</f>
        <v>0</v>
      </c>
      <c r="N454" s="42" t="n">
        <f aca="false">IFERROR(J454/F454,0)</f>
        <v>0</v>
      </c>
      <c r="O454" s="8" t="n">
        <v>0</v>
      </c>
      <c r="P454" s="8" t="n">
        <v>0</v>
      </c>
      <c r="Q454" s="8" t="n">
        <v>0</v>
      </c>
      <c r="R454" s="8" t="n">
        <v>0</v>
      </c>
      <c r="S454" s="8" t="n">
        <v>0</v>
      </c>
      <c r="T454" s="8" t="n">
        <v>0</v>
      </c>
      <c r="U454" s="8" t="n">
        <v>0</v>
      </c>
      <c r="V454" s="8" t="n">
        <v>0</v>
      </c>
      <c r="W454" s="8" t="n">
        <v>0</v>
      </c>
      <c r="X454" s="8" t="n">
        <v>0</v>
      </c>
      <c r="Y454" s="8" t="n">
        <v>0</v>
      </c>
      <c r="Z454" s="8" t="n">
        <v>0</v>
      </c>
      <c r="AA454" s="8" t="n">
        <v>0</v>
      </c>
      <c r="AB454" s="8" t="n">
        <v>0</v>
      </c>
      <c r="AC454" s="8" t="n">
        <v>0</v>
      </c>
      <c r="AD454" s="8" t="n">
        <v>0</v>
      </c>
    </row>
    <row r="455" customFormat="false" ht="15" hidden="false" customHeight="false" outlineLevel="0" collapsed="false">
      <c r="A455" s="38" t="s">
        <v>2387</v>
      </c>
      <c r="B455" s="8" t="s">
        <v>1317</v>
      </c>
      <c r="C455" s="39" t="n">
        <v>2338</v>
      </c>
      <c r="D455" s="40" t="n">
        <v>46219</v>
      </c>
      <c r="E455" s="8" t="n">
        <v>38</v>
      </c>
      <c r="F455" s="39" t="n">
        <v>118</v>
      </c>
      <c r="G455" s="39" t="n">
        <v>2</v>
      </c>
      <c r="H455" s="39" t="n">
        <v>0</v>
      </c>
      <c r="I455" s="39" t="n">
        <v>0</v>
      </c>
      <c r="J455" s="39" t="n">
        <v>0</v>
      </c>
      <c r="K455" s="8" t="s">
        <v>1240</v>
      </c>
      <c r="L455" s="41" t="s">
        <v>2388</v>
      </c>
      <c r="M455" s="42" t="n">
        <f aca="false">IFERROR(I455/F455,0)</f>
        <v>0</v>
      </c>
      <c r="N455" s="42" t="n">
        <f aca="false">IFERROR(J455/F455,0)</f>
        <v>0</v>
      </c>
      <c r="O455" s="8" t="n">
        <v>0</v>
      </c>
      <c r="P455" s="8" t="n">
        <v>0</v>
      </c>
      <c r="Q455" s="8" t="n">
        <v>0</v>
      </c>
      <c r="R455" s="8" t="n">
        <v>0</v>
      </c>
      <c r="S455" s="8" t="n">
        <v>0</v>
      </c>
      <c r="T455" s="8" t="n">
        <v>0</v>
      </c>
      <c r="U455" s="8" t="n">
        <v>0</v>
      </c>
      <c r="V455" s="8" t="n">
        <v>0</v>
      </c>
      <c r="W455" s="8" t="n">
        <v>0</v>
      </c>
      <c r="X455" s="8" t="n">
        <v>0</v>
      </c>
      <c r="Y455" s="8" t="n">
        <v>0</v>
      </c>
      <c r="Z455" s="8" t="n">
        <v>0</v>
      </c>
      <c r="AA455" s="8" t="n">
        <v>0</v>
      </c>
      <c r="AB455" s="8" t="n">
        <v>0</v>
      </c>
      <c r="AC455" s="8" t="n">
        <v>0</v>
      </c>
      <c r="AD455" s="8" t="n">
        <v>0</v>
      </c>
    </row>
    <row r="456" customFormat="false" ht="15" hidden="false" customHeight="false" outlineLevel="0" collapsed="false">
      <c r="A456" s="38" t="s">
        <v>2389</v>
      </c>
      <c r="B456" s="8" t="s">
        <v>2390</v>
      </c>
      <c r="C456" s="39" t="n">
        <v>456</v>
      </c>
      <c r="D456" s="40" t="n">
        <v>46316</v>
      </c>
      <c r="E456" s="8" t="n">
        <v>12</v>
      </c>
      <c r="F456" s="39" t="n">
        <v>115</v>
      </c>
      <c r="G456" s="39" t="n">
        <v>3</v>
      </c>
      <c r="H456" s="39" t="n">
        <v>0</v>
      </c>
      <c r="I456" s="39" t="n">
        <v>0</v>
      </c>
      <c r="J456" s="39" t="n">
        <v>0</v>
      </c>
      <c r="K456" s="8" t="s">
        <v>1240</v>
      </c>
      <c r="L456" s="41" t="s">
        <v>2391</v>
      </c>
      <c r="M456" s="42" t="n">
        <f aca="false">IFERROR(I456/F456,0)</f>
        <v>0</v>
      </c>
      <c r="N456" s="42" t="n">
        <f aca="false">IFERROR(J456/F456,0)</f>
        <v>0</v>
      </c>
      <c r="O456" s="8" t="n">
        <v>0</v>
      </c>
      <c r="P456" s="8" t="n">
        <v>0</v>
      </c>
      <c r="Q456" s="8" t="n">
        <v>0</v>
      </c>
      <c r="R456" s="8" t="n">
        <v>0</v>
      </c>
      <c r="S456" s="8" t="n">
        <v>0</v>
      </c>
      <c r="T456" s="8" t="n">
        <v>0</v>
      </c>
      <c r="U456" s="8" t="n">
        <v>0</v>
      </c>
      <c r="V456" s="8" t="n">
        <v>0</v>
      </c>
      <c r="W456" s="8" t="n">
        <v>1</v>
      </c>
      <c r="X456" s="8" t="n">
        <v>1</v>
      </c>
      <c r="Y456" s="8" t="n">
        <v>0</v>
      </c>
      <c r="Z456" s="8" t="n">
        <v>0</v>
      </c>
      <c r="AA456" s="8" t="n">
        <v>0</v>
      </c>
      <c r="AB456" s="8" t="n">
        <v>0</v>
      </c>
      <c r="AC456" s="8" t="n">
        <v>0</v>
      </c>
      <c r="AD456" s="8" t="n">
        <v>0</v>
      </c>
    </row>
    <row r="457" customFormat="false" ht="15" hidden="false" customHeight="false" outlineLevel="0" collapsed="false">
      <c r="A457" s="38" t="s">
        <v>2392</v>
      </c>
      <c r="B457" s="8" t="s">
        <v>1317</v>
      </c>
      <c r="C457" s="39" t="n">
        <v>2338</v>
      </c>
      <c r="D457" s="40" t="n">
        <v>46234</v>
      </c>
      <c r="E457" s="8" t="n">
        <v>36</v>
      </c>
      <c r="F457" s="39" t="n">
        <v>113</v>
      </c>
      <c r="G457" s="39" t="n">
        <v>0</v>
      </c>
      <c r="H457" s="39" t="n">
        <v>0</v>
      </c>
      <c r="I457" s="39" t="n">
        <v>0</v>
      </c>
      <c r="J457" s="39" t="n">
        <v>0</v>
      </c>
      <c r="K457" s="8" t="s">
        <v>1240</v>
      </c>
      <c r="L457" s="41" t="s">
        <v>2393</v>
      </c>
      <c r="M457" s="42" t="n">
        <f aca="false">IFERROR(I457/F457,0)</f>
        <v>0</v>
      </c>
      <c r="N457" s="42" t="n">
        <f aca="false">IFERROR(J457/F457,0)</f>
        <v>0</v>
      </c>
      <c r="O457" s="8" t="n">
        <v>0</v>
      </c>
      <c r="P457" s="8" t="n">
        <v>0</v>
      </c>
      <c r="Q457" s="8" t="n">
        <v>0</v>
      </c>
      <c r="R457" s="8" t="n">
        <v>0</v>
      </c>
      <c r="S457" s="8" t="n">
        <v>0</v>
      </c>
      <c r="T457" s="8" t="n">
        <v>0</v>
      </c>
      <c r="U457" s="8" t="n">
        <v>0</v>
      </c>
      <c r="V457" s="8" t="n">
        <v>0</v>
      </c>
      <c r="W457" s="8" t="n">
        <v>1</v>
      </c>
      <c r="X457" s="8" t="n">
        <v>1</v>
      </c>
      <c r="Y457" s="8" t="n">
        <v>0</v>
      </c>
      <c r="Z457" s="8" t="n">
        <v>0</v>
      </c>
      <c r="AA457" s="8" t="n">
        <v>0</v>
      </c>
      <c r="AB457" s="8" t="n">
        <v>0</v>
      </c>
      <c r="AC457" s="8" t="n">
        <v>0</v>
      </c>
      <c r="AD457" s="8" t="n">
        <v>0</v>
      </c>
    </row>
    <row r="458" customFormat="false" ht="15" hidden="false" customHeight="false" outlineLevel="0" collapsed="false">
      <c r="A458" s="38" t="s">
        <v>2394</v>
      </c>
      <c r="B458" s="8" t="s">
        <v>2395</v>
      </c>
      <c r="C458" s="39" t="n">
        <v>20</v>
      </c>
      <c r="D458" s="40" t="n">
        <v>46315</v>
      </c>
      <c r="E458" s="8" t="n">
        <v>17</v>
      </c>
      <c r="F458" s="39" t="n">
        <v>113</v>
      </c>
      <c r="G458" s="39" t="n">
        <v>5</v>
      </c>
      <c r="H458" s="39" t="n">
        <v>0</v>
      </c>
      <c r="I458" s="39" t="n">
        <v>0</v>
      </c>
      <c r="J458" s="39" t="n">
        <v>1</v>
      </c>
      <c r="K458" s="8" t="s">
        <v>1240</v>
      </c>
      <c r="L458" s="41" t="s">
        <v>2396</v>
      </c>
      <c r="M458" s="42" t="n">
        <f aca="false">IFERROR(I458/F458,0)</f>
        <v>0</v>
      </c>
      <c r="N458" s="42" t="n">
        <f aca="false">IFERROR(J458/F458,0)</f>
        <v>0.00884955752212389</v>
      </c>
      <c r="O458" s="8" t="n">
        <v>0</v>
      </c>
      <c r="P458" s="8" t="n">
        <v>0</v>
      </c>
      <c r="Q458" s="8" t="n">
        <v>0</v>
      </c>
      <c r="R458" s="8" t="n">
        <v>0</v>
      </c>
      <c r="S458" s="8" t="n">
        <v>0</v>
      </c>
      <c r="T458" s="8" t="n">
        <v>0</v>
      </c>
      <c r="U458" s="8" t="n">
        <v>0</v>
      </c>
      <c r="V458" s="8" t="n">
        <v>0</v>
      </c>
      <c r="W458" s="8" t="n">
        <v>1</v>
      </c>
      <c r="X458" s="8" t="n">
        <v>1</v>
      </c>
      <c r="Y458" s="8" t="n">
        <v>0</v>
      </c>
      <c r="Z458" s="8" t="n">
        <v>0</v>
      </c>
      <c r="AA458" s="8" t="n">
        <v>0</v>
      </c>
      <c r="AB458" s="8" t="n">
        <v>0</v>
      </c>
      <c r="AC458" s="8" t="n">
        <v>0</v>
      </c>
      <c r="AD458" s="8" t="n">
        <v>0</v>
      </c>
    </row>
    <row r="459" customFormat="false" ht="15" hidden="false" customHeight="false" outlineLevel="0" collapsed="false">
      <c r="A459" s="38" t="s">
        <v>2397</v>
      </c>
      <c r="B459" s="8" t="s">
        <v>2398</v>
      </c>
      <c r="C459" s="39" t="n">
        <v>8458</v>
      </c>
      <c r="D459" s="40" t="n">
        <v>46315</v>
      </c>
      <c r="E459" s="8" t="n">
        <v>9</v>
      </c>
      <c r="F459" s="39" t="n">
        <v>98</v>
      </c>
      <c r="G459" s="39" t="n">
        <v>1</v>
      </c>
      <c r="H459" s="39" t="n">
        <v>0</v>
      </c>
      <c r="I459" s="39" t="n">
        <v>0</v>
      </c>
      <c r="J459" s="39" t="n">
        <v>0</v>
      </c>
      <c r="K459" s="8" t="s">
        <v>1240</v>
      </c>
      <c r="L459" s="41" t="s">
        <v>2272</v>
      </c>
      <c r="M459" s="42" t="n">
        <f aca="false">IFERROR(I459/F459,0)</f>
        <v>0</v>
      </c>
      <c r="N459" s="42" t="n">
        <f aca="false">IFERROR(J459/F459,0)</f>
        <v>0</v>
      </c>
      <c r="O459" s="8" t="n">
        <v>0</v>
      </c>
      <c r="P459" s="8" t="n">
        <v>0</v>
      </c>
      <c r="Q459" s="8" t="n">
        <v>0</v>
      </c>
      <c r="R459" s="8" t="n">
        <v>0</v>
      </c>
      <c r="S459" s="8" t="n">
        <v>0</v>
      </c>
      <c r="T459" s="8" t="n">
        <v>0</v>
      </c>
      <c r="U459" s="8" t="n">
        <v>0</v>
      </c>
      <c r="V459" s="8" t="n">
        <v>0</v>
      </c>
      <c r="W459" s="8" t="n">
        <v>1</v>
      </c>
      <c r="X459" s="8" t="n">
        <v>1</v>
      </c>
      <c r="Y459" s="8" t="n">
        <v>0</v>
      </c>
      <c r="Z459" s="8" t="n">
        <v>0</v>
      </c>
      <c r="AA459" s="8" t="n">
        <v>0</v>
      </c>
      <c r="AB459" s="8" t="n">
        <v>0</v>
      </c>
      <c r="AC459" s="8" t="n">
        <v>0</v>
      </c>
      <c r="AD459" s="8" t="n">
        <v>0</v>
      </c>
    </row>
    <row r="460" customFormat="false" ht="15" hidden="false" customHeight="false" outlineLevel="0" collapsed="false">
      <c r="A460" s="38" t="s">
        <v>2399</v>
      </c>
      <c r="B460" s="8" t="s">
        <v>2400</v>
      </c>
      <c r="C460" s="39" t="n">
        <v>144</v>
      </c>
      <c r="D460" s="40" t="n">
        <v>46314</v>
      </c>
      <c r="E460" s="8" t="n">
        <v>17</v>
      </c>
      <c r="F460" s="39" t="n">
        <v>96</v>
      </c>
      <c r="G460" s="39" t="n">
        <v>0</v>
      </c>
      <c r="H460" s="39" t="n">
        <v>0</v>
      </c>
      <c r="I460" s="39" t="n">
        <v>0</v>
      </c>
      <c r="J460" s="39" t="n">
        <v>0</v>
      </c>
      <c r="K460" s="8" t="s">
        <v>1240</v>
      </c>
      <c r="L460" s="41" t="s">
        <v>2401</v>
      </c>
      <c r="M460" s="42" t="n">
        <f aca="false">IFERROR(I460/F460,0)</f>
        <v>0</v>
      </c>
      <c r="N460" s="42" t="n">
        <f aca="false">IFERROR(J460/F460,0)</f>
        <v>0</v>
      </c>
      <c r="O460" s="8" t="n">
        <v>0</v>
      </c>
      <c r="P460" s="8" t="n">
        <v>0</v>
      </c>
      <c r="Q460" s="8" t="n">
        <v>0</v>
      </c>
      <c r="R460" s="8" t="n">
        <v>0</v>
      </c>
      <c r="S460" s="8" t="n">
        <v>0</v>
      </c>
      <c r="T460" s="8" t="n">
        <v>0</v>
      </c>
      <c r="U460" s="8" t="n">
        <v>0</v>
      </c>
      <c r="V460" s="8" t="n">
        <v>1</v>
      </c>
      <c r="W460" s="8" t="n">
        <v>0</v>
      </c>
      <c r="X460" s="8" t="n">
        <v>0</v>
      </c>
      <c r="Y460" s="8" t="n">
        <v>0</v>
      </c>
      <c r="Z460" s="8" t="n">
        <v>0</v>
      </c>
      <c r="AA460" s="8" t="n">
        <v>0</v>
      </c>
      <c r="AB460" s="8" t="n">
        <v>0</v>
      </c>
      <c r="AC460" s="8" t="n">
        <v>0</v>
      </c>
      <c r="AD460" s="8" t="n">
        <v>0</v>
      </c>
    </row>
    <row r="461" customFormat="false" ht="15" hidden="false" customHeight="false" outlineLevel="0" collapsed="false">
      <c r="A461" s="38" t="s">
        <v>2402</v>
      </c>
      <c r="B461" s="8" t="s">
        <v>1317</v>
      </c>
      <c r="C461" s="39" t="n">
        <v>2338</v>
      </c>
      <c r="D461" s="40" t="n">
        <v>46314</v>
      </c>
      <c r="E461" s="8" t="n">
        <v>19</v>
      </c>
      <c r="F461" s="39" t="n">
        <v>95</v>
      </c>
      <c r="G461" s="39" t="n">
        <v>1</v>
      </c>
      <c r="H461" s="39" t="n">
        <v>0</v>
      </c>
      <c r="I461" s="39" t="n">
        <v>0</v>
      </c>
      <c r="J461" s="39" t="n">
        <v>0</v>
      </c>
      <c r="K461" s="8" t="s">
        <v>1240</v>
      </c>
      <c r="L461" s="41" t="s">
        <v>2401</v>
      </c>
      <c r="M461" s="42" t="n">
        <f aca="false">IFERROR(I461/F461,0)</f>
        <v>0</v>
      </c>
      <c r="N461" s="42" t="n">
        <f aca="false">IFERROR(J461/F461,0)</f>
        <v>0</v>
      </c>
      <c r="O461" s="8" t="n">
        <v>0</v>
      </c>
      <c r="P461" s="8" t="n">
        <v>0</v>
      </c>
      <c r="Q461" s="8" t="n">
        <v>0</v>
      </c>
      <c r="R461" s="8" t="n">
        <v>0</v>
      </c>
      <c r="S461" s="8" t="n">
        <v>0</v>
      </c>
      <c r="T461" s="8" t="n">
        <v>0</v>
      </c>
      <c r="U461" s="8" t="n">
        <v>0</v>
      </c>
      <c r="V461" s="8" t="n">
        <v>1</v>
      </c>
      <c r="W461" s="8" t="n">
        <v>0</v>
      </c>
      <c r="X461" s="8" t="n">
        <v>0</v>
      </c>
      <c r="Y461" s="8" t="n">
        <v>0</v>
      </c>
      <c r="Z461" s="8" t="n">
        <v>0</v>
      </c>
      <c r="AA461" s="8" t="n">
        <v>0</v>
      </c>
      <c r="AB461" s="8" t="n">
        <v>0</v>
      </c>
      <c r="AC461" s="8" t="n">
        <v>0</v>
      </c>
      <c r="AD461" s="8" t="n">
        <v>0</v>
      </c>
    </row>
    <row r="462" customFormat="false" ht="15" hidden="false" customHeight="false" outlineLevel="0" collapsed="false">
      <c r="A462" s="38" t="s">
        <v>2403</v>
      </c>
      <c r="B462" s="8" t="s">
        <v>2404</v>
      </c>
      <c r="C462" s="39" t="n">
        <v>336</v>
      </c>
      <c r="D462" s="40" t="n">
        <v>46315</v>
      </c>
      <c r="E462" s="8" t="n">
        <v>23</v>
      </c>
      <c r="F462" s="39" t="n">
        <v>95</v>
      </c>
      <c r="G462" s="39" t="n">
        <v>2</v>
      </c>
      <c r="H462" s="39" t="n">
        <v>2</v>
      </c>
      <c r="I462" s="39" t="n">
        <v>0</v>
      </c>
      <c r="J462" s="39" t="n">
        <v>0</v>
      </c>
      <c r="K462" s="8" t="s">
        <v>1240</v>
      </c>
      <c r="L462" s="41" t="s">
        <v>2405</v>
      </c>
      <c r="M462" s="42" t="n">
        <f aca="false">IFERROR(I462/F462,0)</f>
        <v>0</v>
      </c>
      <c r="N462" s="42" t="n">
        <f aca="false">IFERROR(J462/F462,0)</f>
        <v>0</v>
      </c>
      <c r="O462" s="8" t="n">
        <v>0</v>
      </c>
      <c r="P462" s="8" t="n">
        <v>0</v>
      </c>
      <c r="Q462" s="8" t="n">
        <v>0</v>
      </c>
      <c r="R462" s="8" t="n">
        <v>0</v>
      </c>
      <c r="S462" s="8" t="n">
        <v>0</v>
      </c>
      <c r="T462" s="8" t="n">
        <v>1</v>
      </c>
      <c r="U462" s="8" t="n">
        <v>0</v>
      </c>
      <c r="V462" s="8" t="n">
        <v>0</v>
      </c>
      <c r="W462" s="8" t="n">
        <v>1</v>
      </c>
      <c r="X462" s="8" t="n">
        <v>1</v>
      </c>
      <c r="Y462" s="8" t="n">
        <v>0</v>
      </c>
      <c r="Z462" s="8" t="n">
        <v>0</v>
      </c>
      <c r="AA462" s="8" t="n">
        <v>0</v>
      </c>
      <c r="AB462" s="8" t="n">
        <v>0</v>
      </c>
      <c r="AC462" s="8" t="n">
        <v>0</v>
      </c>
      <c r="AD462" s="8" t="n">
        <v>0</v>
      </c>
    </row>
    <row r="463" customFormat="false" ht="15" hidden="false" customHeight="false" outlineLevel="0" collapsed="false">
      <c r="A463" s="38" t="s">
        <v>2406</v>
      </c>
      <c r="B463" s="8" t="s">
        <v>2407</v>
      </c>
      <c r="C463" s="39" t="n">
        <v>7</v>
      </c>
      <c r="D463" s="40" t="n">
        <v>46316</v>
      </c>
      <c r="E463" s="8" t="n">
        <v>13</v>
      </c>
      <c r="F463" s="39" t="n">
        <v>95</v>
      </c>
      <c r="G463" s="39" t="n">
        <v>3</v>
      </c>
      <c r="H463" s="39" t="n">
        <v>0</v>
      </c>
      <c r="I463" s="39" t="n">
        <v>0</v>
      </c>
      <c r="J463" s="39" t="n">
        <v>0</v>
      </c>
      <c r="K463" s="8" t="s">
        <v>1240</v>
      </c>
      <c r="L463" s="41" t="s">
        <v>2408</v>
      </c>
      <c r="M463" s="42" t="n">
        <f aca="false">IFERROR(I463/F463,0)</f>
        <v>0</v>
      </c>
      <c r="N463" s="42" t="n">
        <f aca="false">IFERROR(J463/F463,0)</f>
        <v>0</v>
      </c>
      <c r="O463" s="8" t="n">
        <v>0</v>
      </c>
      <c r="P463" s="8" t="n">
        <v>0</v>
      </c>
      <c r="Q463" s="8" t="n">
        <v>0</v>
      </c>
      <c r="R463" s="8" t="n">
        <v>0</v>
      </c>
      <c r="S463" s="8" t="n">
        <v>0</v>
      </c>
      <c r="T463" s="8" t="n">
        <v>0</v>
      </c>
      <c r="U463" s="8" t="n">
        <v>0</v>
      </c>
      <c r="V463" s="8" t="n">
        <v>0</v>
      </c>
      <c r="W463" s="8" t="n">
        <v>1</v>
      </c>
      <c r="X463" s="8" t="n">
        <v>1</v>
      </c>
      <c r="Y463" s="8" t="n">
        <v>0</v>
      </c>
      <c r="Z463" s="8" t="n">
        <v>0</v>
      </c>
      <c r="AA463" s="8" t="n">
        <v>0</v>
      </c>
      <c r="AB463" s="8" t="n">
        <v>0</v>
      </c>
      <c r="AC463" s="8" t="n">
        <v>0</v>
      </c>
      <c r="AD463" s="8" t="n">
        <v>0</v>
      </c>
    </row>
    <row r="464" customFormat="false" ht="15" hidden="false" customHeight="false" outlineLevel="0" collapsed="false">
      <c r="A464" s="38" t="s">
        <v>2409</v>
      </c>
      <c r="B464" s="8" t="s">
        <v>2400</v>
      </c>
      <c r="C464" s="39" t="n">
        <v>144</v>
      </c>
      <c r="D464" s="40" t="n">
        <v>46315</v>
      </c>
      <c r="E464" s="8" t="n">
        <v>18</v>
      </c>
      <c r="F464" s="39" t="n">
        <v>91</v>
      </c>
      <c r="G464" s="39" t="n">
        <v>0</v>
      </c>
      <c r="H464" s="39" t="n">
        <v>0</v>
      </c>
      <c r="I464" s="39" t="n">
        <v>0</v>
      </c>
      <c r="J464" s="39" t="n">
        <v>0</v>
      </c>
      <c r="K464" s="8" t="s">
        <v>1240</v>
      </c>
      <c r="L464" s="41" t="s">
        <v>2410</v>
      </c>
      <c r="M464" s="42" t="n">
        <f aca="false">IFERROR(I464/F464,0)</f>
        <v>0</v>
      </c>
      <c r="N464" s="42" t="n">
        <f aca="false">IFERROR(J464/F464,0)</f>
        <v>0</v>
      </c>
      <c r="O464" s="8" t="n">
        <v>0</v>
      </c>
      <c r="P464" s="8" t="n">
        <v>0</v>
      </c>
      <c r="Q464" s="8" t="n">
        <v>0</v>
      </c>
      <c r="R464" s="8" t="n">
        <v>0</v>
      </c>
      <c r="S464" s="8" t="n">
        <v>0</v>
      </c>
      <c r="T464" s="8" t="n">
        <v>0</v>
      </c>
      <c r="U464" s="8" t="n">
        <v>0</v>
      </c>
      <c r="V464" s="8" t="n">
        <v>0</v>
      </c>
      <c r="W464" s="8" t="n">
        <v>0</v>
      </c>
      <c r="X464" s="8" t="n">
        <v>0</v>
      </c>
      <c r="Y464" s="8" t="n">
        <v>0</v>
      </c>
      <c r="Z464" s="8" t="n">
        <v>0</v>
      </c>
      <c r="AA464" s="8" t="n">
        <v>0</v>
      </c>
      <c r="AB464" s="8" t="n">
        <v>0</v>
      </c>
      <c r="AC464" s="8" t="n">
        <v>0</v>
      </c>
      <c r="AD464" s="8" t="n">
        <v>0</v>
      </c>
    </row>
    <row r="465" customFormat="false" ht="15" hidden="false" customHeight="false" outlineLevel="0" collapsed="false">
      <c r="A465" s="38" t="s">
        <v>2411</v>
      </c>
      <c r="B465" s="8" t="s">
        <v>2400</v>
      </c>
      <c r="C465" s="39" t="n">
        <v>144</v>
      </c>
      <c r="D465" s="40" t="n">
        <v>46314</v>
      </c>
      <c r="E465" s="8" t="n">
        <v>22</v>
      </c>
      <c r="F465" s="39" t="n">
        <v>91</v>
      </c>
      <c r="G465" s="39" t="n">
        <v>0</v>
      </c>
      <c r="H465" s="39" t="n">
        <v>0</v>
      </c>
      <c r="I465" s="39" t="n">
        <v>0</v>
      </c>
      <c r="J465" s="39" t="n">
        <v>0</v>
      </c>
      <c r="K465" s="8" t="s">
        <v>1240</v>
      </c>
      <c r="L465" s="41" t="s">
        <v>2412</v>
      </c>
      <c r="M465" s="42" t="n">
        <f aca="false">IFERROR(I465/F465,0)</f>
        <v>0</v>
      </c>
      <c r="N465" s="42" t="n">
        <f aca="false">IFERROR(J465/F465,0)</f>
        <v>0</v>
      </c>
      <c r="O465" s="8" t="n">
        <v>0</v>
      </c>
      <c r="P465" s="8" t="n">
        <v>0</v>
      </c>
      <c r="Q465" s="8" t="n">
        <v>0</v>
      </c>
      <c r="R465" s="8" t="n">
        <v>0</v>
      </c>
      <c r="S465" s="8" t="n">
        <v>0</v>
      </c>
      <c r="T465" s="8" t="n">
        <v>0</v>
      </c>
      <c r="U465" s="8" t="n">
        <v>0</v>
      </c>
      <c r="V465" s="8" t="n">
        <v>0</v>
      </c>
      <c r="W465" s="8" t="n">
        <v>0</v>
      </c>
      <c r="X465" s="8" t="n">
        <v>0</v>
      </c>
      <c r="Y465" s="8" t="n">
        <v>0</v>
      </c>
      <c r="Z465" s="8" t="n">
        <v>0</v>
      </c>
      <c r="AA465" s="8" t="n">
        <v>0</v>
      </c>
      <c r="AB465" s="8" t="n">
        <v>0</v>
      </c>
      <c r="AC465" s="8" t="n">
        <v>0</v>
      </c>
      <c r="AD465" s="8" t="n">
        <v>0</v>
      </c>
    </row>
    <row r="466" customFormat="false" ht="15" hidden="false" customHeight="false" outlineLevel="0" collapsed="false">
      <c r="A466" s="38" t="s">
        <v>2413</v>
      </c>
      <c r="B466" s="8" t="s">
        <v>1307</v>
      </c>
      <c r="C466" s="39" t="n">
        <v>10400</v>
      </c>
      <c r="D466" s="40" t="n">
        <v>46312</v>
      </c>
      <c r="E466" s="8" t="n">
        <v>17</v>
      </c>
      <c r="F466" s="39" t="n">
        <v>82</v>
      </c>
      <c r="G466" s="39" t="n">
        <v>2</v>
      </c>
      <c r="H466" s="39" t="n">
        <v>0</v>
      </c>
      <c r="I466" s="39" t="n">
        <v>0</v>
      </c>
      <c r="J466" s="39" t="n">
        <v>0</v>
      </c>
      <c r="K466" s="8" t="s">
        <v>1240</v>
      </c>
      <c r="L466" s="41" t="s">
        <v>2414</v>
      </c>
      <c r="M466" s="42" t="n">
        <f aca="false">IFERROR(I466/F466,0)</f>
        <v>0</v>
      </c>
      <c r="N466" s="42" t="n">
        <f aca="false">IFERROR(J466/F466,0)</f>
        <v>0</v>
      </c>
      <c r="O466" s="8" t="n">
        <v>0</v>
      </c>
      <c r="P466" s="8" t="n">
        <v>0</v>
      </c>
      <c r="Q466" s="8" t="n">
        <v>0</v>
      </c>
      <c r="R466" s="8" t="n">
        <v>0</v>
      </c>
      <c r="S466" s="8" t="n">
        <v>0</v>
      </c>
      <c r="T466" s="8" t="n">
        <v>0</v>
      </c>
      <c r="U466" s="8" t="n">
        <v>0</v>
      </c>
      <c r="V466" s="8" t="n">
        <v>0</v>
      </c>
      <c r="W466" s="8" t="n">
        <v>0</v>
      </c>
      <c r="X466" s="8" t="n">
        <v>0</v>
      </c>
      <c r="Y466" s="8" t="n">
        <v>0</v>
      </c>
      <c r="Z466" s="8" t="n">
        <v>0</v>
      </c>
      <c r="AA466" s="8" t="n">
        <v>0</v>
      </c>
      <c r="AB466" s="8" t="n">
        <v>0</v>
      </c>
      <c r="AC466" s="8" t="n">
        <v>0</v>
      </c>
      <c r="AD466" s="8" t="n">
        <v>0</v>
      </c>
    </row>
    <row r="467" customFormat="false" ht="15" hidden="false" customHeight="false" outlineLevel="0" collapsed="false">
      <c r="A467" s="38" t="s">
        <v>2415</v>
      </c>
      <c r="B467" s="8" t="s">
        <v>2416</v>
      </c>
      <c r="C467" s="39" t="n">
        <v>736</v>
      </c>
      <c r="D467" s="40" t="n">
        <v>46316</v>
      </c>
      <c r="E467" s="8" t="n">
        <v>29</v>
      </c>
      <c r="F467" s="39" t="n">
        <v>82</v>
      </c>
      <c r="G467" s="39" t="n">
        <v>2</v>
      </c>
      <c r="H467" s="39" t="n">
        <v>0</v>
      </c>
      <c r="I467" s="39" t="n">
        <v>0</v>
      </c>
      <c r="J467" s="39" t="n">
        <v>0</v>
      </c>
      <c r="K467" s="8" t="s">
        <v>1240</v>
      </c>
      <c r="L467" s="41" t="s">
        <v>2417</v>
      </c>
      <c r="M467" s="42" t="n">
        <f aca="false">IFERROR(I467/F467,0)</f>
        <v>0</v>
      </c>
      <c r="N467" s="42" t="n">
        <f aca="false">IFERROR(J467/F467,0)</f>
        <v>0</v>
      </c>
      <c r="O467" s="8" t="n">
        <v>0</v>
      </c>
      <c r="P467" s="8" t="n">
        <v>0</v>
      </c>
      <c r="Q467" s="8" t="n">
        <v>0</v>
      </c>
      <c r="R467" s="8" t="n">
        <v>0</v>
      </c>
      <c r="S467" s="8" t="n">
        <v>0</v>
      </c>
      <c r="T467" s="8" t="n">
        <v>0</v>
      </c>
      <c r="U467" s="8" t="n">
        <v>0</v>
      </c>
      <c r="V467" s="8" t="n">
        <v>0</v>
      </c>
      <c r="W467" s="8" t="n">
        <v>1</v>
      </c>
      <c r="X467" s="8" t="n">
        <v>1</v>
      </c>
      <c r="Y467" s="8" t="n">
        <v>0</v>
      </c>
      <c r="Z467" s="8" t="n">
        <v>0</v>
      </c>
      <c r="AA467" s="8" t="n">
        <v>0</v>
      </c>
      <c r="AB467" s="8" t="n">
        <v>0</v>
      </c>
      <c r="AC467" s="8" t="n">
        <v>0</v>
      </c>
      <c r="AD467" s="8" t="n">
        <v>1</v>
      </c>
    </row>
    <row r="468" customFormat="false" ht="15" hidden="false" customHeight="false" outlineLevel="0" collapsed="false">
      <c r="A468" s="38" t="s">
        <v>2418</v>
      </c>
      <c r="B468" s="8" t="s">
        <v>2419</v>
      </c>
      <c r="C468" s="39" t="n">
        <v>1105</v>
      </c>
      <c r="D468" s="40" t="n">
        <v>46177</v>
      </c>
      <c r="E468" s="8" t="n">
        <v>4</v>
      </c>
      <c r="F468" s="39" t="n">
        <v>66</v>
      </c>
      <c r="G468" s="39" t="n">
        <v>0</v>
      </c>
      <c r="H468" s="39" t="n">
        <v>0</v>
      </c>
      <c r="I468" s="39" t="n">
        <v>0</v>
      </c>
      <c r="J468" s="39" t="n">
        <v>0</v>
      </c>
      <c r="K468" s="8" t="s">
        <v>1240</v>
      </c>
      <c r="L468" s="41" t="s">
        <v>2420</v>
      </c>
      <c r="M468" s="42" t="n">
        <f aca="false">IFERROR(I468/F468,0)</f>
        <v>0</v>
      </c>
      <c r="N468" s="42" t="n">
        <f aca="false">IFERROR(J468/F468,0)</f>
        <v>0</v>
      </c>
      <c r="O468" s="8" t="n">
        <v>0</v>
      </c>
      <c r="P468" s="8" t="n">
        <v>0</v>
      </c>
      <c r="Q468" s="8" t="n">
        <v>0</v>
      </c>
      <c r="R468" s="8" t="n">
        <v>0</v>
      </c>
      <c r="S468" s="8" t="n">
        <v>0</v>
      </c>
      <c r="T468" s="8" t="n">
        <v>1</v>
      </c>
      <c r="U468" s="8" t="n">
        <v>0</v>
      </c>
      <c r="V468" s="8" t="n">
        <v>0</v>
      </c>
      <c r="W468" s="8" t="n">
        <v>0</v>
      </c>
      <c r="X468" s="8" t="n">
        <v>1</v>
      </c>
      <c r="Y468" s="8" t="n">
        <v>0</v>
      </c>
      <c r="Z468" s="8" t="n">
        <v>0</v>
      </c>
      <c r="AA468" s="8" t="n">
        <v>0</v>
      </c>
      <c r="AB468" s="8" t="n">
        <v>0</v>
      </c>
      <c r="AC468" s="8" t="n">
        <v>0</v>
      </c>
      <c r="AD468" s="8" t="n">
        <v>0</v>
      </c>
    </row>
    <row r="469" customFormat="false" ht="15" hidden="false" customHeight="false" outlineLevel="0" collapsed="false">
      <c r="A469" s="38" t="s">
        <v>2421</v>
      </c>
      <c r="B469" s="8" t="s">
        <v>1317</v>
      </c>
      <c r="C469" s="39" t="n">
        <v>2338</v>
      </c>
      <c r="D469" s="40" t="n">
        <v>46314</v>
      </c>
      <c r="E469" s="8" t="n">
        <v>25</v>
      </c>
      <c r="F469" s="39" t="n">
        <v>56</v>
      </c>
      <c r="G469" s="39" t="n">
        <v>2</v>
      </c>
      <c r="H469" s="39" t="n">
        <v>0</v>
      </c>
      <c r="I469" s="39" t="n">
        <v>0</v>
      </c>
      <c r="J469" s="39" t="n">
        <v>0</v>
      </c>
      <c r="K469" s="8" t="s">
        <v>1240</v>
      </c>
      <c r="L469" s="41" t="s">
        <v>2422</v>
      </c>
      <c r="M469" s="42" t="n">
        <f aca="false">IFERROR(I469/F469,0)</f>
        <v>0</v>
      </c>
      <c r="N469" s="42" t="n">
        <f aca="false">IFERROR(J469/F469,0)</f>
        <v>0</v>
      </c>
      <c r="O469" s="8" t="n">
        <v>0</v>
      </c>
      <c r="P469" s="8" t="n">
        <v>0</v>
      </c>
      <c r="Q469" s="8" t="n">
        <v>0</v>
      </c>
      <c r="R469" s="8" t="n">
        <v>0</v>
      </c>
      <c r="S469" s="8" t="n">
        <v>0</v>
      </c>
      <c r="T469" s="8" t="n">
        <v>0</v>
      </c>
      <c r="U469" s="8" t="n">
        <v>0</v>
      </c>
      <c r="V469" s="8" t="n">
        <v>0</v>
      </c>
      <c r="W469" s="8" t="n">
        <v>0</v>
      </c>
      <c r="X469" s="8" t="n">
        <v>0</v>
      </c>
      <c r="Y469" s="8" t="n">
        <v>0</v>
      </c>
      <c r="Z469" s="8" t="n">
        <v>0</v>
      </c>
      <c r="AA469" s="8" t="n">
        <v>0</v>
      </c>
      <c r="AB469" s="8" t="n">
        <v>0</v>
      </c>
      <c r="AC469" s="8" t="n">
        <v>0</v>
      </c>
      <c r="AD469" s="8" t="n">
        <v>0</v>
      </c>
    </row>
    <row r="470" customFormat="false" ht="15" hidden="false" customHeight="false" outlineLevel="0" collapsed="false">
      <c r="A470" s="38" t="s">
        <v>2423</v>
      </c>
      <c r="B470" s="8" t="s">
        <v>1317</v>
      </c>
      <c r="C470" s="39" t="n">
        <v>2338</v>
      </c>
      <c r="D470" s="40" t="n">
        <v>46315</v>
      </c>
      <c r="E470" s="8" t="n">
        <v>24</v>
      </c>
      <c r="F470" s="39" t="n">
        <v>53</v>
      </c>
      <c r="G470" s="39" t="n">
        <v>2</v>
      </c>
      <c r="H470" s="39" t="n">
        <v>0</v>
      </c>
      <c r="I470" s="39" t="n">
        <v>0</v>
      </c>
      <c r="J470" s="39" t="n">
        <v>0</v>
      </c>
      <c r="K470" s="8" t="s">
        <v>1240</v>
      </c>
      <c r="L470" s="41" t="s">
        <v>2422</v>
      </c>
      <c r="M470" s="42" t="n">
        <f aca="false">IFERROR(I470/F470,0)</f>
        <v>0</v>
      </c>
      <c r="N470" s="42" t="n">
        <f aca="false">IFERROR(J470/F470,0)</f>
        <v>0</v>
      </c>
      <c r="O470" s="8" t="n">
        <v>0</v>
      </c>
      <c r="P470" s="8" t="n">
        <v>0</v>
      </c>
      <c r="Q470" s="8" t="n">
        <v>0</v>
      </c>
      <c r="R470" s="8" t="n">
        <v>0</v>
      </c>
      <c r="S470" s="8" t="n">
        <v>0</v>
      </c>
      <c r="T470" s="8" t="n">
        <v>0</v>
      </c>
      <c r="U470" s="8" t="n">
        <v>0</v>
      </c>
      <c r="V470" s="8" t="n">
        <v>0</v>
      </c>
      <c r="W470" s="8" t="n">
        <v>0</v>
      </c>
      <c r="X470" s="8" t="n">
        <v>0</v>
      </c>
      <c r="Y470" s="8" t="n">
        <v>0</v>
      </c>
      <c r="Z470" s="8" t="n">
        <v>0</v>
      </c>
      <c r="AA470" s="8" t="n">
        <v>0</v>
      </c>
      <c r="AB470" s="8" t="n">
        <v>0</v>
      </c>
      <c r="AC470" s="8" t="n">
        <v>0</v>
      </c>
      <c r="AD470" s="8" t="n">
        <v>0</v>
      </c>
    </row>
    <row r="471" customFormat="false" ht="15" hidden="false" customHeight="false" outlineLevel="0" collapsed="false">
      <c r="A471" s="38" t="s">
        <v>2424</v>
      </c>
      <c r="B471" s="8" t="s">
        <v>2425</v>
      </c>
      <c r="C471" s="39" t="n">
        <v>499</v>
      </c>
      <c r="D471" s="40" t="n">
        <v>46317</v>
      </c>
      <c r="E471" s="8" t="n">
        <v>76</v>
      </c>
      <c r="F471" s="39" t="n">
        <v>51</v>
      </c>
      <c r="G471" s="39" t="n">
        <v>3</v>
      </c>
      <c r="H471" s="39" t="n">
        <v>0</v>
      </c>
      <c r="I471" s="39" t="n">
        <v>6</v>
      </c>
      <c r="J471" s="39" t="n">
        <v>2</v>
      </c>
      <c r="K471" s="8" t="s">
        <v>1240</v>
      </c>
      <c r="L471" s="41" t="s">
        <v>2426</v>
      </c>
      <c r="M471" s="42" t="n">
        <f aca="false">IFERROR(I471/F471,0)</f>
        <v>0.117647058823529</v>
      </c>
      <c r="N471" s="42" t="n">
        <f aca="false">IFERROR(J471/F471,0)</f>
        <v>0.0392156862745098</v>
      </c>
      <c r="O471" s="8" t="n">
        <v>0</v>
      </c>
      <c r="P471" s="8" t="n">
        <v>0</v>
      </c>
      <c r="Q471" s="8" t="n">
        <v>0</v>
      </c>
      <c r="R471" s="8" t="n">
        <v>0</v>
      </c>
      <c r="S471" s="8" t="n">
        <v>0</v>
      </c>
      <c r="T471" s="8" t="n">
        <v>0</v>
      </c>
      <c r="U471" s="8" t="n">
        <v>0</v>
      </c>
      <c r="V471" s="8" t="n">
        <v>0</v>
      </c>
      <c r="W471" s="8" t="n">
        <v>1</v>
      </c>
      <c r="X471" s="8" t="n">
        <v>1</v>
      </c>
      <c r="Y471" s="8" t="n">
        <v>0</v>
      </c>
      <c r="Z471" s="8" t="n">
        <v>0</v>
      </c>
      <c r="AA471" s="8" t="n">
        <v>0</v>
      </c>
      <c r="AB471" s="8" t="n">
        <v>0</v>
      </c>
      <c r="AC471" s="8" t="n">
        <v>0</v>
      </c>
      <c r="AD471" s="8" t="n">
        <v>0</v>
      </c>
    </row>
    <row r="472" customFormat="false" ht="15" hidden="false" customHeight="false" outlineLevel="0" collapsed="false">
      <c r="A472" s="38" t="s">
        <v>2427</v>
      </c>
      <c r="B472" s="8" t="s">
        <v>2428</v>
      </c>
      <c r="C472" s="39" t="n">
        <v>13</v>
      </c>
      <c r="D472" s="40" t="n">
        <v>46315</v>
      </c>
      <c r="E472" s="8" t="n">
        <v>9</v>
      </c>
      <c r="F472" s="39" t="n">
        <v>49</v>
      </c>
      <c r="G472" s="39" t="n">
        <v>0</v>
      </c>
      <c r="H472" s="39" t="n">
        <v>0</v>
      </c>
      <c r="I472" s="39" t="n">
        <v>0</v>
      </c>
      <c r="J472" s="39" t="n">
        <v>0</v>
      </c>
      <c r="K472" s="8" t="s">
        <v>1240</v>
      </c>
      <c r="L472" s="41" t="s">
        <v>2429</v>
      </c>
      <c r="M472" s="42" t="n">
        <f aca="false">IFERROR(I472/F472,0)</f>
        <v>0</v>
      </c>
      <c r="N472" s="42" t="n">
        <f aca="false">IFERROR(J472/F472,0)</f>
        <v>0</v>
      </c>
      <c r="O472" s="8" t="n">
        <v>0</v>
      </c>
      <c r="P472" s="8" t="n">
        <v>0</v>
      </c>
      <c r="Q472" s="8" t="n">
        <v>0</v>
      </c>
      <c r="R472" s="8" t="n">
        <v>0</v>
      </c>
      <c r="S472" s="8" t="n">
        <v>0</v>
      </c>
      <c r="T472" s="8" t="n">
        <v>0</v>
      </c>
      <c r="U472" s="8" t="n">
        <v>0</v>
      </c>
      <c r="V472" s="8" t="n">
        <v>0</v>
      </c>
      <c r="W472" s="8" t="n">
        <v>1</v>
      </c>
      <c r="X472" s="8" t="n">
        <v>1</v>
      </c>
      <c r="Y472" s="8" t="n">
        <v>0</v>
      </c>
      <c r="Z472" s="8" t="n">
        <v>0</v>
      </c>
      <c r="AA472" s="8" t="n">
        <v>0</v>
      </c>
      <c r="AB472" s="8" t="n">
        <v>0</v>
      </c>
      <c r="AC472" s="8" t="n">
        <v>0</v>
      </c>
      <c r="AD472" s="8" t="n">
        <v>0</v>
      </c>
    </row>
    <row r="473" customFormat="false" ht="15" hidden="false" customHeight="false" outlineLevel="0" collapsed="false">
      <c r="A473" s="38" t="s">
        <v>2430</v>
      </c>
      <c r="B473" s="8" t="s">
        <v>2431</v>
      </c>
      <c r="C473" s="39" t="n">
        <v>225</v>
      </c>
      <c r="D473" s="40" t="n">
        <v>46301</v>
      </c>
      <c r="E473" s="8" t="n">
        <v>29</v>
      </c>
      <c r="F473" s="39" t="n">
        <v>41</v>
      </c>
      <c r="G473" s="39" t="n">
        <v>1</v>
      </c>
      <c r="H473" s="39" t="n">
        <v>0</v>
      </c>
      <c r="I473" s="39" t="n">
        <v>0</v>
      </c>
      <c r="J473" s="39" t="n">
        <v>0</v>
      </c>
      <c r="K473" s="8" t="s">
        <v>1240</v>
      </c>
      <c r="L473" s="41" t="s">
        <v>2432</v>
      </c>
      <c r="M473" s="42" t="n">
        <f aca="false">IFERROR(I473/F473,0)</f>
        <v>0</v>
      </c>
      <c r="N473" s="42" t="n">
        <f aca="false">IFERROR(J473/F473,0)</f>
        <v>0</v>
      </c>
      <c r="O473" s="8" t="n">
        <v>0</v>
      </c>
      <c r="P473" s="8" t="n">
        <v>0</v>
      </c>
      <c r="Q473" s="8" t="n">
        <v>0</v>
      </c>
      <c r="R473" s="8" t="n">
        <v>0</v>
      </c>
      <c r="S473" s="8" t="n">
        <v>0</v>
      </c>
      <c r="T473" s="8" t="n">
        <v>0</v>
      </c>
      <c r="U473" s="8" t="n">
        <v>0</v>
      </c>
      <c r="V473" s="8" t="n">
        <v>0</v>
      </c>
      <c r="W473" s="8" t="n">
        <v>0</v>
      </c>
      <c r="X473" s="8" t="n">
        <v>0</v>
      </c>
      <c r="Y473" s="8" t="n">
        <v>0</v>
      </c>
      <c r="Z473" s="8" t="n">
        <v>0</v>
      </c>
      <c r="AA473" s="8" t="n">
        <v>0</v>
      </c>
      <c r="AB473" s="8" t="n">
        <v>0</v>
      </c>
      <c r="AC473" s="8" t="n">
        <v>0</v>
      </c>
      <c r="AD473" s="8" t="n">
        <v>0</v>
      </c>
    </row>
    <row r="474" customFormat="false" ht="15" hidden="false" customHeight="false" outlineLevel="0" collapsed="false">
      <c r="A474" s="38" t="s">
        <v>2433</v>
      </c>
      <c r="B474" s="8" t="s">
        <v>2434</v>
      </c>
      <c r="C474" s="39" t="n">
        <v>3290</v>
      </c>
      <c r="D474" s="40" t="n">
        <v>46316</v>
      </c>
      <c r="E474" s="8" t="n">
        <v>14</v>
      </c>
      <c r="F474" s="39" t="n">
        <v>40</v>
      </c>
      <c r="G474" s="39" t="n">
        <v>3</v>
      </c>
      <c r="H474" s="39" t="n">
        <v>2</v>
      </c>
      <c r="I474" s="39" t="n">
        <v>0</v>
      </c>
      <c r="J474" s="39" t="n">
        <v>0</v>
      </c>
      <c r="K474" s="8" t="s">
        <v>1240</v>
      </c>
      <c r="L474" s="41" t="s">
        <v>2435</v>
      </c>
      <c r="M474" s="42" t="n">
        <f aca="false">IFERROR(I474/F474,0)</f>
        <v>0</v>
      </c>
      <c r="N474" s="42" t="n">
        <f aca="false">IFERROR(J474/F474,0)</f>
        <v>0</v>
      </c>
      <c r="O474" s="8" t="n">
        <v>0</v>
      </c>
      <c r="P474" s="8" t="n">
        <v>0</v>
      </c>
      <c r="Q474" s="8" t="n">
        <v>0</v>
      </c>
      <c r="R474" s="8" t="n">
        <v>0</v>
      </c>
      <c r="S474" s="8" t="n">
        <v>0</v>
      </c>
      <c r="T474" s="8" t="n">
        <v>0</v>
      </c>
      <c r="U474" s="8" t="n">
        <v>0</v>
      </c>
      <c r="V474" s="8" t="n">
        <v>0</v>
      </c>
      <c r="W474" s="8" t="n">
        <v>1</v>
      </c>
      <c r="X474" s="8" t="n">
        <v>1</v>
      </c>
      <c r="Y474" s="8" t="n">
        <v>0</v>
      </c>
      <c r="Z474" s="8" t="n">
        <v>0</v>
      </c>
      <c r="AA474" s="8" t="n">
        <v>0</v>
      </c>
      <c r="AB474" s="8" t="n">
        <v>0</v>
      </c>
      <c r="AC474" s="8" t="n">
        <v>0</v>
      </c>
      <c r="AD474" s="8" t="n">
        <v>0</v>
      </c>
    </row>
    <row r="475" customFormat="false" ht="15" hidden="false" customHeight="false" outlineLevel="0" collapsed="false">
      <c r="A475" s="38" t="s">
        <v>2436</v>
      </c>
      <c r="B475" s="8" t="s">
        <v>2437</v>
      </c>
      <c r="C475" s="39" t="n">
        <v>25</v>
      </c>
      <c r="D475" s="40" t="n">
        <v>46316</v>
      </c>
      <c r="E475" s="8" t="n">
        <v>20</v>
      </c>
      <c r="F475" s="39" t="n">
        <v>37</v>
      </c>
      <c r="G475" s="39" t="n">
        <v>0</v>
      </c>
      <c r="H475" s="39" t="n">
        <v>0</v>
      </c>
      <c r="I475" s="39" t="n">
        <v>0</v>
      </c>
      <c r="J475" s="39" t="n">
        <v>0</v>
      </c>
      <c r="K475" s="8" t="s">
        <v>1240</v>
      </c>
      <c r="L475" s="41" t="s">
        <v>2438</v>
      </c>
      <c r="M475" s="42" t="n">
        <f aca="false">IFERROR(I475/F475,0)</f>
        <v>0</v>
      </c>
      <c r="N475" s="42" t="n">
        <f aca="false">IFERROR(J475/F475,0)</f>
        <v>0</v>
      </c>
      <c r="O475" s="8" t="n">
        <v>0</v>
      </c>
      <c r="P475" s="8" t="n">
        <v>0</v>
      </c>
      <c r="Q475" s="8" t="n">
        <v>0</v>
      </c>
      <c r="R475" s="8" t="n">
        <v>0</v>
      </c>
      <c r="S475" s="8" t="n">
        <v>0</v>
      </c>
      <c r="T475" s="8" t="n">
        <v>1</v>
      </c>
      <c r="U475" s="8" t="n">
        <v>0</v>
      </c>
      <c r="V475" s="8" t="n">
        <v>0</v>
      </c>
      <c r="W475" s="8" t="n">
        <v>1</v>
      </c>
      <c r="X475" s="8" t="n">
        <v>1</v>
      </c>
      <c r="Y475" s="8" t="n">
        <v>0</v>
      </c>
      <c r="Z475" s="8" t="n">
        <v>0</v>
      </c>
      <c r="AA475" s="8" t="n">
        <v>1</v>
      </c>
      <c r="AB475" s="8" t="n">
        <v>0</v>
      </c>
      <c r="AC475" s="8" t="n">
        <v>0</v>
      </c>
      <c r="AD475" s="8" t="n">
        <v>0</v>
      </c>
    </row>
    <row r="476" customFormat="false" ht="15" hidden="false" customHeight="false" outlineLevel="0" collapsed="false">
      <c r="A476" s="38" t="s">
        <v>2439</v>
      </c>
      <c r="B476" s="8" t="s">
        <v>2440</v>
      </c>
      <c r="C476" s="39" t="n">
        <v>57</v>
      </c>
      <c r="D476" s="40" t="n">
        <v>46316</v>
      </c>
      <c r="E476" s="8" t="n">
        <v>10</v>
      </c>
      <c r="F476" s="39" t="n">
        <v>13</v>
      </c>
      <c r="G476" s="39" t="n">
        <v>0</v>
      </c>
      <c r="H476" s="39" t="n">
        <v>0</v>
      </c>
      <c r="I476" s="39" t="n">
        <v>0</v>
      </c>
      <c r="J476" s="39" t="n">
        <v>0</v>
      </c>
      <c r="K476" s="8" t="s">
        <v>1240</v>
      </c>
      <c r="L476" s="41" t="s">
        <v>2441</v>
      </c>
      <c r="M476" s="42" t="n">
        <f aca="false">IFERROR(I476/F476,0)</f>
        <v>0</v>
      </c>
      <c r="N476" s="42" t="n">
        <f aca="false">IFERROR(J476/F476,0)</f>
        <v>0</v>
      </c>
      <c r="O476" s="8" t="n">
        <v>0</v>
      </c>
      <c r="P476" s="8" t="n">
        <v>0</v>
      </c>
      <c r="Q476" s="8" t="n">
        <v>0</v>
      </c>
      <c r="R476" s="8" t="n">
        <v>0</v>
      </c>
      <c r="S476" s="8" t="n">
        <v>0</v>
      </c>
      <c r="T476" s="8" t="n">
        <v>0</v>
      </c>
      <c r="U476" s="8" t="n">
        <v>0</v>
      </c>
      <c r="V476" s="8" t="n">
        <v>0</v>
      </c>
      <c r="W476" s="8" t="n">
        <v>1</v>
      </c>
      <c r="X476" s="8" t="n">
        <v>1</v>
      </c>
      <c r="Y476" s="8" t="n">
        <v>0</v>
      </c>
      <c r="Z476" s="8" t="n">
        <v>0</v>
      </c>
      <c r="AA476" s="8" t="n">
        <v>0</v>
      </c>
      <c r="AB476" s="8" t="n">
        <v>0</v>
      </c>
      <c r="AC476" s="8" t="n">
        <v>0</v>
      </c>
      <c r="AD476" s="8" t="n">
        <v>0</v>
      </c>
    </row>
    <row r="477" customFormat="false" ht="15" hidden="false" customHeight="false" outlineLevel="0" collapsed="false">
      <c r="A477" s="38" t="s">
        <v>2442</v>
      </c>
      <c r="B477" s="8" t="s">
        <v>2443</v>
      </c>
      <c r="C477" s="39" t="n">
        <v>0</v>
      </c>
      <c r="D477" s="40" t="n">
        <v>46291</v>
      </c>
      <c r="E477" s="8" t="n">
        <v>54</v>
      </c>
      <c r="F477" s="39" t="n">
        <v>7</v>
      </c>
      <c r="G477" s="39" t="n">
        <v>0</v>
      </c>
      <c r="H477" s="39" t="n">
        <v>1</v>
      </c>
      <c r="I477" s="39" t="n">
        <v>0</v>
      </c>
      <c r="J477" s="39" t="n">
        <v>0</v>
      </c>
      <c r="K477" s="8" t="s">
        <v>1240</v>
      </c>
      <c r="L477" s="41" t="s">
        <v>2444</v>
      </c>
      <c r="M477" s="42" t="n">
        <f aca="false">IFERROR(I477/F477,0)</f>
        <v>0</v>
      </c>
      <c r="N477" s="42" t="n">
        <f aca="false">IFERROR(J477/F477,0)</f>
        <v>0</v>
      </c>
      <c r="O477" s="8" t="n">
        <v>0</v>
      </c>
      <c r="P477" s="8" t="n">
        <v>0</v>
      </c>
      <c r="Q477" s="8" t="n">
        <v>0</v>
      </c>
      <c r="R477" s="8" t="n">
        <v>0</v>
      </c>
      <c r="S477" s="8" t="n">
        <v>0</v>
      </c>
      <c r="T477" s="8" t="n">
        <v>0</v>
      </c>
      <c r="U477" s="8" t="n">
        <v>0</v>
      </c>
      <c r="V477" s="8" t="n">
        <v>0</v>
      </c>
      <c r="W477" s="8" t="n">
        <v>0</v>
      </c>
      <c r="X477" s="8" t="n">
        <v>0</v>
      </c>
      <c r="Y477" s="8" t="n">
        <v>0</v>
      </c>
      <c r="Z477" s="8" t="n">
        <v>0</v>
      </c>
      <c r="AA477" s="8" t="n">
        <v>0</v>
      </c>
      <c r="AB477" s="8" t="n">
        <v>0</v>
      </c>
      <c r="AC477" s="8" t="n">
        <v>0</v>
      </c>
      <c r="AD477" s="8" t="n">
        <v>0</v>
      </c>
    </row>
    <row r="478" customFormat="false" ht="15" hidden="false" customHeight="false" outlineLevel="0" collapsed="false">
      <c r="A478" s="38" t="s">
        <v>2445</v>
      </c>
      <c r="B478" s="8" t="s">
        <v>2446</v>
      </c>
      <c r="C478" s="39" t="n">
        <v>21</v>
      </c>
      <c r="D478" s="40" t="n">
        <v>46282</v>
      </c>
      <c r="E478" s="8" t="n">
        <v>33</v>
      </c>
      <c r="F478" s="39" t="n">
        <v>7</v>
      </c>
      <c r="G478" s="39" t="n">
        <v>1</v>
      </c>
      <c r="H478" s="39" t="n">
        <v>0</v>
      </c>
      <c r="I478" s="39" t="n">
        <v>0</v>
      </c>
      <c r="J478" s="39" t="n">
        <v>0</v>
      </c>
      <c r="K478" s="8" t="s">
        <v>1240</v>
      </c>
      <c r="L478" s="41" t="s">
        <v>2447</v>
      </c>
      <c r="M478" s="42" t="n">
        <f aca="false">IFERROR(I478/F478,0)</f>
        <v>0</v>
      </c>
      <c r="N478" s="42" t="n">
        <f aca="false">IFERROR(J478/F478,0)</f>
        <v>0</v>
      </c>
      <c r="O478" s="8" t="n">
        <v>0</v>
      </c>
      <c r="P478" s="8" t="n">
        <v>0</v>
      </c>
      <c r="Q478" s="8" t="n">
        <v>0</v>
      </c>
      <c r="R478" s="8" t="n">
        <v>0</v>
      </c>
      <c r="S478" s="8" t="n">
        <v>0</v>
      </c>
      <c r="T478" s="8" t="n">
        <v>0</v>
      </c>
      <c r="U478" s="8" t="n">
        <v>0</v>
      </c>
      <c r="V478" s="8" t="n">
        <v>0</v>
      </c>
      <c r="W478" s="8" t="n">
        <v>1</v>
      </c>
      <c r="X478" s="8" t="n">
        <v>1</v>
      </c>
      <c r="Y478" s="8" t="n">
        <v>0</v>
      </c>
      <c r="Z478" s="8" t="n">
        <v>0</v>
      </c>
      <c r="AA478" s="8" t="n">
        <v>0</v>
      </c>
      <c r="AB478" s="8" t="n">
        <v>0</v>
      </c>
      <c r="AC478" s="8" t="n">
        <v>1</v>
      </c>
      <c r="AD478" s="8" t="n">
        <v>0</v>
      </c>
    </row>
    <row r="479" customFormat="false" ht="15" hidden="false" customHeight="false" outlineLevel="0" collapsed="false">
      <c r="A479" s="38" t="s">
        <v>2448</v>
      </c>
      <c r="B479" s="8" t="s">
        <v>2398</v>
      </c>
      <c r="C479" s="39" t="n">
        <v>8458</v>
      </c>
      <c r="D479" s="40" t="n">
        <v>46315</v>
      </c>
      <c r="E479" s="8" t="n">
        <v>10</v>
      </c>
      <c r="F479" s="39" t="n">
        <v>6</v>
      </c>
      <c r="G479" s="39" t="n">
        <v>0</v>
      </c>
      <c r="H479" s="39" t="n">
        <v>0</v>
      </c>
      <c r="I479" s="39" t="n">
        <v>0</v>
      </c>
      <c r="J479" s="39" t="n">
        <v>0</v>
      </c>
      <c r="K479" s="8" t="s">
        <v>1240</v>
      </c>
      <c r="L479" s="41" t="s">
        <v>2272</v>
      </c>
      <c r="M479" s="42" t="n">
        <f aca="false">IFERROR(I479/F479,0)</f>
        <v>0</v>
      </c>
      <c r="N479" s="42" t="n">
        <f aca="false">IFERROR(J479/F479,0)</f>
        <v>0</v>
      </c>
      <c r="O479" s="8" t="n">
        <v>0</v>
      </c>
      <c r="P479" s="8" t="n">
        <v>0</v>
      </c>
      <c r="Q479" s="8" t="n">
        <v>0</v>
      </c>
      <c r="R479" s="8" t="n">
        <v>0</v>
      </c>
      <c r="S479" s="8" t="n">
        <v>0</v>
      </c>
      <c r="T479" s="8" t="n">
        <v>0</v>
      </c>
      <c r="U479" s="8" t="n">
        <v>0</v>
      </c>
      <c r="V479" s="8" t="n">
        <v>0</v>
      </c>
      <c r="W479" s="8" t="n">
        <v>1</v>
      </c>
      <c r="X479" s="8" t="n">
        <v>1</v>
      </c>
      <c r="Y479" s="8" t="n">
        <v>0</v>
      </c>
      <c r="Z479" s="8" t="n">
        <v>0</v>
      </c>
      <c r="AA479" s="8" t="n">
        <v>0</v>
      </c>
      <c r="AB479" s="8" t="n">
        <v>0</v>
      </c>
      <c r="AC479" s="8" t="n">
        <v>0</v>
      </c>
      <c r="AD479" s="8" t="n">
        <v>0</v>
      </c>
    </row>
    <row r="480" customFormat="false" ht="15" hidden="false" customHeight="false" outlineLevel="0" collapsed="false">
      <c r="A480" s="38" t="s">
        <v>2449</v>
      </c>
      <c r="B480" s="8" t="s">
        <v>2450</v>
      </c>
      <c r="C480" s="39" t="n">
        <v>1383</v>
      </c>
      <c r="D480" s="40" t="n">
        <v>46317</v>
      </c>
      <c r="E480" s="8" t="n">
        <v>44</v>
      </c>
      <c r="F480" s="39" t="n">
        <v>1</v>
      </c>
      <c r="G480" s="39" t="n">
        <v>0</v>
      </c>
      <c r="H480" s="39" t="n">
        <v>0</v>
      </c>
      <c r="I480" s="39" t="n">
        <v>0</v>
      </c>
      <c r="J480" s="39" t="n">
        <v>0</v>
      </c>
      <c r="K480" s="8" t="s">
        <v>1240</v>
      </c>
      <c r="L480" s="41" t="s">
        <v>2451</v>
      </c>
      <c r="M480" s="42" t="n">
        <f aca="false">IFERROR(I480/F480,0)</f>
        <v>0</v>
      </c>
      <c r="N480" s="42" t="n">
        <f aca="false">IFERROR(J480/F480,0)</f>
        <v>0</v>
      </c>
      <c r="O480" s="8" t="n">
        <v>0</v>
      </c>
      <c r="P480" s="8" t="n">
        <v>0</v>
      </c>
      <c r="Q480" s="8" t="n">
        <v>0</v>
      </c>
      <c r="R480" s="8" t="n">
        <v>0</v>
      </c>
      <c r="S480" s="8" t="n">
        <v>0</v>
      </c>
      <c r="T480" s="8" t="n">
        <v>0</v>
      </c>
      <c r="U480" s="8" t="n">
        <v>0</v>
      </c>
      <c r="V480" s="8" t="n">
        <v>0</v>
      </c>
      <c r="W480" s="8" t="n">
        <v>1</v>
      </c>
      <c r="X480" s="8" t="n">
        <v>0</v>
      </c>
      <c r="Y480" s="8" t="n">
        <v>0</v>
      </c>
      <c r="Z480" s="8" t="n">
        <v>0</v>
      </c>
      <c r="AA480" s="8" t="n">
        <v>0</v>
      </c>
      <c r="AB480" s="8" t="n">
        <v>0</v>
      </c>
      <c r="AC480" s="8" t="n">
        <v>1</v>
      </c>
      <c r="AD480" s="8" t="n">
        <v>0</v>
      </c>
    </row>
  </sheetData>
  <autoFilter ref="A1:AD480"/>
  <hyperlinks>
    <hyperlink ref="A2" r:id="rId1" display="https://www.tiktok.com/@chinawindowsdoors/video/7434373688859921672"/>
    <hyperlink ref="A3" r:id="rId2" display="https://www.tiktok.com/@proalumad/video/7075315096817306885"/>
    <hyperlink ref="A4" r:id="rId3" display="https://www.tiktok.com/@proalumad/video/7288013328054488326"/>
    <hyperlink ref="A5" r:id="rId4" display="https://www.tiktok.com/@omy.window.and.door0/video/7488288149555334446"/>
    <hyperlink ref="A6" r:id="rId5" display="https://www.tiktok.com/@windowhome1/video/7347574448490319147"/>
    <hyperlink ref="A7" r:id="rId6" display="https://www.tiktok.com/@windowhome1/video/7360507063526608170"/>
    <hyperlink ref="A8" r:id="rId7" display="https://www.tiktok.com/@blinds2go.official/video/7651300960135957782"/>
    <hyperlink ref="A9" r:id="rId8" display="https://www.tiktok.com/@chinawindowsdoors/video/7436946128278424850"/>
    <hyperlink ref="A10" r:id="rId9" display="https://www.tiktok.com/@chinawindowsdoors/video/7456647456017616135"/>
    <hyperlink ref="A11" r:id="rId10" display="https://www.tiktok.com/@proalumad/video/7591110042548538645"/>
    <hyperlink ref="A12" r:id="rId11" display="https://www.tiktok.com/@siddiquealuminumandglass/video/7676841474662714644"/>
    <hyperlink ref="A13" r:id="rId12" display="https://www.tiktok.com/@alu.mamoune/video/7323879084658887942"/>
    <hyperlink ref="A14" r:id="rId13" display="https://www.tiktok.com/@proalumad/video/7541352573593324808"/>
    <hyperlink ref="A15" r:id="rId14" display="https://www.tiktok.com/@tamarisstores2009/video/7340389793223724294"/>
    <hyperlink ref="A16" r:id="rId15" display="https://www.tiktok.com/@globalmenuiseriealumini0/video/7363368754354326789"/>
    <hyperlink ref="A17" r:id="rId16" display="https://www.tiktok.com/@aluminium1973/video/7625335639147597077"/>
    <hyperlink ref="A18" r:id="rId17" display="https://www.tiktok.com/@aluminooo/video/7602743628905057557"/>
    <hyperlink ref="A19" r:id="rId18" display="https://www.tiktok.com/@moukhtyalu/video/7510704503914581254"/>
    <hyperlink ref="A20" r:id="rId19" display="https://www.tiktok.com/@auliving_/video/7430667891546049800"/>
    <hyperlink ref="A21" r:id="rId20" display="https://www.tiktok.com/@moukhtyalu/video/7500157486444383493"/>
    <hyperlink ref="A22" r:id="rId21" display="https://www.tiktok.com/@lawgu1/video/7562520956921597204"/>
    <hyperlink ref="A23" r:id="rId22" display="https://www.tiktok.com/@mj.metalwork/video/7486404461406113079"/>
    <hyperlink ref="A24" r:id="rId23" display="https://www.tiktok.com/@tianmailnteriordoors/video/7548087027162451230"/>
    <hyperlink ref="A25" r:id="rId24" display="https://www.tiktok.com/@yuli_brasilita/video/7611830520263068949"/>
    <hyperlink ref="A26" r:id="rId25" display="https://www.tiktok.com/@estudiolfarq/video/7219331951684078854"/>
    <hyperlink ref="A27" r:id="rId26" display="https://www.tiktok.com/@alocuisines/video/7288763769570839813"/>
    <hyperlink ref="A28" r:id="rId27" display="https://www.tiktok.com/@ho.qunh65/video/7680797918495788295"/>
    <hyperlink ref="A29" r:id="rId28" display="https://www.tiktok.com/@oussamahirche/video/7655816058258853141"/>
    <hyperlink ref="A30" r:id="rId29" display="https://www.tiktok.com/@emirahmanresources/video/7397205677506039061"/>
    <hyperlink ref="A31" r:id="rId30" display="https://www.tiktok.com/@huajianaluminumgroup/video/7647436745717386526"/>
    <hyperlink ref="A32" r:id="rId31" display="https://www.tiktok.com/@proalumad/video/7639412122660769045"/>
    <hyperlink ref="A33" r:id="rId32" display="https://www.tiktok.com/@zakariaa.haddad/video/7669004080731180306"/>
    <hyperlink ref="A34" r:id="rId33" display="https://www.tiktok.com/@qnqhouse/video/7292701970362567942"/>
    <hyperlink ref="A35" r:id="rId34" display="https://www.tiktok.com/@huajianaluminumprofile/video/7532339422289743159"/>
    <hyperlink ref="A36" r:id="rId35" display="https://www.tiktok.com/@alu.mamoune/video/7555038195470093586"/>
    <hyperlink ref="A37" r:id="rId36" display="https://www.tiktok.com/@houichisofien/video/7331032097932561670"/>
    <hyperlink ref="A38" r:id="rId37" display="https://www.tiktok.com/@arizal_aluminium/video/7525802301802515768"/>
    <hyperlink ref="A39" r:id="rId38" display="https://www.tiktok.com/@malex_home/video/7600832535916039446"/>
    <hyperlink ref="A40" r:id="rId39" display="https://www.tiktok.com/@kajobaashraf/video/7698981386421554452"/>
    <hyperlink ref="A41" r:id="rId40" display="https://www.tiktok.com/@mounir.231/video/7604174417404480786"/>
    <hyperlink ref="A42" r:id="rId41" display="https://www.tiktok.com/@yehyaaluminium/video/7605670193569746194"/>
    <hyperlink ref="A43" r:id="rId42" display="https://www.tiktok.com/@aluminium_oujaiou/video/7564512090153585941"/>
    <hyperlink ref="A44" r:id="rId43" display="https://www.tiktok.com/@metalworklh/video/7660893719746448670"/>
    <hyperlink ref="A45" r:id="rId44" display="https://www.tiktok.com/@abgslidingdoor/video/7498336019490671890"/>
    <hyperlink ref="A46" r:id="rId45" display="https://www.tiktok.com/@haixuan_aluminum02/video/7615262818010549522"/>
    <hyperlink ref="A47" r:id="rId46" display="https://www.tiktok.com/@siddiquealuminumandglass/video/7655228589725519124"/>
    <hyperlink ref="A48" r:id="rId47" display="https://www.tiktok.com/@zaki.aluminiumpro/video/7476896291159543046"/>
    <hyperlink ref="A49" r:id="rId48" display="https://www.tiktok.com/@mzaluminium/video/7610790520553491733"/>
    <hyperlink ref="A50" r:id="rId49" display="https://www.tiktok.com/@abderrahimrachdi3/video/7652308692381093141"/>
    <hyperlink ref="A51" r:id="rId50" display="https://www.tiktok.com/@aluminum.youssef8/video/7681312975394983176"/>
    <hyperlink ref="A52" r:id="rId51" display="https://www.tiktok.com/@lumora.homee/video/7592615429827317000"/>
    <hyperlink ref="A53" r:id="rId52" display="https://www.tiktok.com/@tottme_engineering/video/7609899087722204446"/>
    <hyperlink ref="A54" r:id="rId53" display="https://www.tiktok.com/@aluminium_oujaiou/video/7566367003397672212"/>
    <hyperlink ref="A55" r:id="rId54" display="https://www.tiktok.com/@mandlabuild/video/7698689658825346311"/>
    <hyperlink ref="A56" r:id="rId55" display="https://www.tiktok.com/@ayoub.aluminium/video/7562646380280401170"/>
    <hyperlink ref="A57" r:id="rId56" display="https://www.tiktok.com/@entreprisediaaluminium/video/7637702016172707092"/>
    <hyperlink ref="A58" r:id="rId57" display="https://www.tiktok.com/@zaki.aluminiumpro/video/7512933943448964357"/>
    <hyperlink ref="A59" r:id="rId58" display="https://www.tiktok.com/@inoxaluminiu/video/7641946515828657441"/>
    <hyperlink ref="A60" r:id="rId59" display="https://www.tiktok.com/@glassworthbuilders/video/7506872123126779143"/>
    <hyperlink ref="A61" r:id="rId60" display="https://www.tiktok.com/@ttm.aluminium/video/7559909405710421256"/>
    <hyperlink ref="A62" r:id="rId61" display="https://www.tiktok.com/@siddiquealuminumandglass/video/7664256810811002133"/>
    <hyperlink ref="A63" r:id="rId62" display="https://www.tiktok.com/@ar.aluminium4/video/7474649480273349943"/>
    <hyperlink ref="A64" r:id="rId63" display="https://www.tiktok.com/@jldoorsandwindows/video/7453300111435697416"/>
    <hyperlink ref="A65" r:id="rId64" display="https://www.tiktok.com/@osmangani060/video/7486962591630396679"/>
    <hyperlink ref="A66" r:id="rId65" display="https://www.tiktok.com/@illusion.store19/video/7370275803487079685"/>
    <hyperlink ref="A67" r:id="rId66" display="https://www.tiktok.com/@aluminium1973/video/7631292868690234645"/>
    <hyperlink ref="A68" r:id="rId67" display="https://www.tiktok.com/@pro.deco.fermetures/video/7098864066617249029"/>
    <hyperlink ref="A69" r:id="rId68" display="https://www.tiktok.com/@algalplus_extrusion/video/7509946275006057733"/>
    <hyperlink ref="A70" r:id="rId69" display="https://www.tiktok.com/@budiluhuraluminium/video/7663023969288883474"/>
    <hyperlink ref="A71" r:id="rId70" display="https://www.tiktok.com/@proalumad/video/7632815695285259541"/>
    <hyperlink ref="A72" r:id="rId71" display="https://www.tiktok.com/@arizal_aluminium/video/7483953696850677047"/>
    <hyperlink ref="A73" r:id="rId72" display="https://www.tiktok.com/@jasonjohnsham1/video/7698050561962167559"/>
    <hyperlink ref="A74" r:id="rId73" display="https://www.tiktok.com/@kajobaashraf/video/7698985673616788756"/>
    <hyperlink ref="A75" r:id="rId74" display="https://www.tiktok.com/@cuisinealuminiumzemzem/video/7127410633481456902"/>
    <hyperlink ref="A76" r:id="rId75" display="https://www.tiktok.com/@chinawindowsdoors/video/7662959556271688967"/>
    <hyperlink ref="A77" r:id="rId76" display="https://www.tiktok.com/@vicky_merpitu/video/7679989268260883720"/>
    <hyperlink ref="A78" r:id="rId77" display="https://www.tiktok.com/@ateliers.du.bois.vivant/video/7518171226490014983"/>
    <hyperlink ref="A79" r:id="rId78" display="https://www.tiktok.com/@zouiniyoussef/video/7546720636924726536"/>
    <hyperlink ref="A80" r:id="rId79" display="https://www.tiktok.com/@tasfawt.travaux/video/7557805030141611272"/>
    <hyperlink ref="A81" r:id="rId80" display="https://www.tiktok.com/@nurulauliyau/video/7657085091956460821"/>
    <hyperlink ref="A82" r:id="rId81" display="https://www.tiktok.com/@nahdalum/video/7559948546762444040"/>
    <hyperlink ref="A83" r:id="rId82" display="https://www.tiktok.com/@mounir.231/video/7598977215052762379"/>
    <hyperlink ref="A84" r:id="rId83" display="https://www.tiktok.com/@alu.mamoune/video/7627818129695362324"/>
    <hyperlink ref="A85" r:id="rId84" display="https://www.tiktok.com/@expertalupro/video/7598989579886021921"/>
    <hyperlink ref="A86" r:id="rId85" display="https://www.tiktok.com/@jaouadmachachi/video/6987418058356690182"/>
    <hyperlink ref="A87" r:id="rId86" display="https://www.tiktok.com/@aluminooo/video/7147370993592421637"/>
    <hyperlink ref="A88" r:id="rId87" display="https://www.tiktok.com/@zaki.aluminiumpro/video/7466106265807211782"/>
    <hyperlink ref="A89" r:id="rId88" display="https://www.tiktok.com/@aluminum_profile_factory/video/7581321785237359903"/>
    <hyperlink ref="A90" r:id="rId89" display="https://www.tiktok.com/@climconfort.pro/video/7597751639868656918"/>
    <hyperlink ref="A91" r:id="rId90" display="https://www.tiktok.com/@spesialis.las.aluminium/video/7592915772163640583"/>
    <hyperlink ref="A92" r:id="rId91" display="https://www.tiktok.com/@mdinox9/video/7657184299719953682"/>
    <hyperlink ref="A93" r:id="rId92" display="https://www.tiktok.com/@chantier.11/video/7342564443802324256"/>
    <hyperlink ref="A94" r:id="rId93" display="https://www.tiktok.com/@m_z.alu/video/7597428037759651083"/>
    <hyperlink ref="A95" r:id="rId94" display="https://www.tiktok.com/@said__er1/video/7653850710609628423"/>
    <hyperlink ref="A96" r:id="rId95" display="https://www.tiktok.com/@cuisin_aluminum_officiel/video/7663192364596530439"/>
    <hyperlink ref="A97" r:id="rId96" display="https://www.tiktok.com/@ayoub.aluminium/video/7630921780634422536"/>
    <hyperlink ref="A98" r:id="rId97" display="https://www.tiktok.com/@enzadeco69/video/7602294039433448726"/>
    <hyperlink ref="A99" r:id="rId98" display="https://www.tiktok.com/@aluminum_profile_factory/video/7606209108445859103"/>
    <hyperlink ref="A100" r:id="rId99" display="https://www.tiktok.com/@twyford.tiles5/video/7605148957127216402"/>
    <hyperlink ref="A101" r:id="rId100" display="https://www.tiktok.com/@markglassoffciel/video/7616821705012563221"/>
    <hyperlink ref="A102" r:id="rId101" display="https://www.tiktok.com/@chinawindowsdoors/video/7649652809557609735"/>
    <hyperlink ref="A103" r:id="rId102" display="https://www.tiktok.com/@ayoub.aluminium/video/7574881992429374738"/>
    <hyperlink ref="A104" r:id="rId103" display="https://www.tiktok.com/@alocuisines/video/7237111478984166661"/>
    <hyperlink ref="A105" r:id="rId104" display="https://www.tiktok.com/@wajihat.almohtarif/video/7493211277221743927"/>
    <hyperlink ref="A106" r:id="rId105" display="https://www.tiktok.com/@markglassoffciel/video/7600905057260899604"/>
    <hyperlink ref="A107" r:id="rId106" display="https://www.tiktok.com/@alocuisines/video/7098062441342405893"/>
    <hyperlink ref="A108" r:id="rId107" display="https://www.tiktok.com/@siddiquealuminumandglass/video/7645164618670787860"/>
    <hyperlink ref="A109" r:id="rId108" display="https://www.tiktok.com/@kawner1/video/7637941592124312852"/>
    <hyperlink ref="A110" r:id="rId109" display="https://www.tiktok.com/@deutschconfortt/video/7634149817517690119"/>
    <hyperlink ref="A111" r:id="rId110" display="https://www.tiktok.com/@north.aluminium/video/7640863918335773970"/>
    <hyperlink ref="A112" r:id="rId111" display="https://www.tiktok.com/@hsmcfactory/video/7633352632865737997"/>
    <hyperlink ref="A113" r:id="rId112" display="https://www.tiktok.com/@aluminiumomar/video/7605366253758319880"/>
    <hyperlink ref="A114" r:id="rId113" display="https://www.tiktok.com/@cuisinealuminium/video/7301772186258312454"/>
    <hyperlink ref="A115" r:id="rId114" display="https://www.tiktok.com/@zhejiangboma/video/7586644756382387486"/>
    <hyperlink ref="A116" r:id="rId115" display="https://www.tiktok.com/@jlchinafoshanfurniture/video/7485937332412075295"/>
    <hyperlink ref="A117" r:id="rId116" display="https://www.tiktok.com/@lipeng.hardware/video/7484125919620123911"/>
    <hyperlink ref="A118" r:id="rId117" display="https://www.tiktok.com/@zaki.aluminiumpro/video/7478042262841183494"/>
    <hyperlink ref="A119" r:id="rId118" display="https://www.tiktok.com/@jaouadmachachi/video/6987421396662045957"/>
    <hyperlink ref="A120" r:id="rId119" display="https://www.tiktok.com/@cuisinealuminium/video/7309486394500582662"/>
    <hyperlink ref="A121" r:id="rId120" display="https://www.tiktok.com/@antigaspicaudry/video/7616804609536904480"/>
    <hyperlink ref="A122" r:id="rId121" display="https://www.tiktok.com/@chouaib_design/video/7667666685171830023"/>
    <hyperlink ref="A123" r:id="rId122" display="https://www.tiktok.com/@cuisin_aluminum_officiel/video/7599781703044943122"/>
    <hyperlink ref="A124" r:id="rId123" display="https://www.tiktok.com/@k.c.hglassandaluminiumpr/video/7643053012520307988"/>
    <hyperlink ref="A125" r:id="rId124" display="https://www.tiktok.com/@cuisin_aluminum_officiel/video/7517360878581189894"/>
    <hyperlink ref="A126" r:id="rId125" display="https://www.tiktok.com/@ismailmakoui/video/7476634111990418743"/>
    <hyperlink ref="A127" r:id="rId126" display="https://www.tiktok.com/@cuisine_pvc_kenitra/video/7289905802771483910"/>
    <hyperlink ref="A128" r:id="rId127" display="https://www.tiktok.com/@alocuisines/video/7210008992926518533"/>
    <hyperlink ref="A129" r:id="rId128" display="https://www.tiktok.com/@forsy.cales/video/7555920542482795799"/>
    <hyperlink ref="A130" r:id="rId129" display="https://www.tiktok.com/@orbitprints24/video/7643191365840424212"/>
    <hyperlink ref="A131" r:id="rId130" display="https://www.tiktok.com/@harmosai/video/7454253643555032327"/>
    <hyperlink ref="A132" r:id="rId131" display="https://www.tiktok.com/@aluminium_oujaiou/video/7574899004870479112"/>
    <hyperlink ref="A133" r:id="rId132" display="https://www.tiktok.com/@goraniang77/video/7446501845603716357"/>
    <hyperlink ref="A134" r:id="rId133" display="https://www.tiktok.com/@papzaluminum/video/7509454142121790727"/>
    <hyperlink ref="A135" r:id="rId134" display="https://www.tiktok.com/@wajihat.almohtarif/video/7630431469252463890"/>
    <hyperlink ref="A136" r:id="rId135" display="https://www.tiktok.com/@bouchrametal/video/7578305580725488952"/>
    <hyperlink ref="A137" r:id="rId136" display="https://www.tiktok.com/@mehdialuminium1973/video/7535554747483327746"/>
    <hyperlink ref="A138" r:id="rId137" display="https://www.tiktok.com/@homedecor.tetouan/video/7418937269270089002"/>
    <hyperlink ref="A139" r:id="rId138" display="https://www.tiktok.com/@gryffin_doors/video/7592275074602781973"/>
    <hyperlink ref="A140" r:id="rId139" display="https://www.tiktok.com/@aluminiumomar/video/7646428821587283207"/>
    <hyperlink ref="A141" r:id="rId140" display="https://www.tiktok.com/@abdellah.archi/video/7279130925705825542"/>
    <hyperlink ref="A142" r:id="rId141" display="https://www.tiktok.com/@enzadeco69/video/7625979346284612866"/>
    <hyperlink ref="A143" r:id="rId142" display="https://www.tiktok.com/@gil.sard.alu/video/7564447213577932054"/>
    <hyperlink ref="A144" r:id="rId143" display="https://www.tiktok.com/@aurelia1li/video/7688619262042295582"/>
    <hyperlink ref="A145" r:id="rId144" display="https://www.tiktok.com/@dellyfever/video/7535998808191241502"/>
    <hyperlink ref="A146" r:id="rId145" display="https://www.tiktok.com/@lora_aluokna_kz/video/7656836183875521810"/>
    <hyperlink ref="A147" r:id="rId146" display="https://www.tiktok.com/@zouiniyoussef/video/7375523617976716550"/>
    <hyperlink ref="A148" r:id="rId147" display="https://www.tiktok.com/@zaki.aluminiumpro/video/7477320969829223685"/>
    <hyperlink ref="A149" r:id="rId148" display="https://www.tiktok.com/@gil.sard.alu/video/7598964582379736342"/>
    <hyperlink ref="A150" r:id="rId149" display="https://www.tiktok.com/@gaindaquioag/video/7529406311574916370"/>
    <hyperlink ref="A151" r:id="rId150" display="https://www.tiktok.com/@latelierduverre/video/7633922072783162644"/>
    <hyperlink ref="A152" r:id="rId151" display="https://www.tiktok.com/@wanjiadoor_/video/7610995832149511437"/>
    <hyperlink ref="A153" r:id="rId152" display="https://www.tiktok.com/@m_z_alu/video/7601123716298312980"/>
    <hyperlink ref="A154" r:id="rId153" display="https://www.tiktok.com/@rh_alumuneim1/video/7606065200428584212"/>
    <hyperlink ref="A155" r:id="rId154" display="https://www.tiktok.com/@vitraf.alu/video/7635697481757625620"/>
    <hyperlink ref="A156" r:id="rId155" display="https://www.tiktok.com/@skymaxmaroc.ma/video/7594966469578902792"/>
    <hyperlink ref="A157" r:id="rId156" display="https://www.tiktok.com/@zaki.aluminiumpro/video/7478863639236201733"/>
    <hyperlink ref="A158" r:id="rId157" display="https://www.tiktok.com/@alkea.solabaie.renoval/video/7214040878006930694"/>
    <hyperlink ref="A159" r:id="rId158" display="https://www.tiktok.com/@jaouadmachachi/video/6987405767183813893"/>
    <hyperlink ref="A160" r:id="rId159" display="https://www.tiktok.com/@alumtingis/video/7633519707018022152"/>
    <hyperlink ref="A161" r:id="rId160" display="https://www.tiktok.com/@erickwibowo01/video/7607479522316881159"/>
    <hyperlink ref="A162" r:id="rId161" display="https://www.tiktok.com/@aluminium.safii/video/7580108360243105031"/>
    <hyperlink ref="A163" r:id="rId162" display="https://www.tiktok.com/@alupro26/video/7629655038478159124"/>
    <hyperlink ref="A164" r:id="rId163" display="https://www.tiktok.com/@gary03392/video/7432287767574400261"/>
    <hyperlink ref="A165" r:id="rId164" display="https://www.tiktok.com/@gil.sard.alu/video/7530708755382553878"/>
    <hyperlink ref="A166" r:id="rId165" display="https://www.tiktok.com/@zaki.aluminiumpro/video/7499202466643332357"/>
    <hyperlink ref="A167" r:id="rId166" display="https://www.tiktok.com/@aluminum.factory.nan/video/7580298510671662354"/>
    <hyperlink ref="A168" r:id="rId167" display="https://www.tiktok.com/@joubijalusystem/video/7642838250297576737"/>
    <hyperlink ref="A169" r:id="rId168" display="https://www.tiktok.com/@cuisine_pvc_kenitra/video/7341499332463463685"/>
    <hyperlink ref="A170" r:id="rId169" display="https://www.tiktok.com/@lihengdoorsandwindows/video/7632132398192397590"/>
    <hyperlink ref="A171" r:id="rId170" display="https://www.tiktok.com/@atelier_el_jami/video/7630492488117046535"/>
    <hyperlink ref="A172" r:id="rId171" display="https://www.tiktok.com/@chinawindoors/video/7600609886392552735"/>
    <hyperlink ref="A173" r:id="rId172" display="https://www.tiktok.com/@cuisinealuminiumzemzem/video/7275431151890730245"/>
    <hyperlink ref="A174" r:id="rId173" display="https://www.tiktok.com/@ho.qunh65/video/7674864367912881426"/>
    <hyperlink ref="A175" r:id="rId174" display="https://www.tiktok.com/@rofof.fes/video/7698007052467096839"/>
    <hyperlink ref="A176" r:id="rId175" display="https://www.tiktok.com/@proalumad/video/7697236319046602004"/>
    <hyperlink ref="A177" r:id="rId176" display="https://www.tiktok.com/@amovdesign/video/7220020837963943174"/>
    <hyperlink ref="A178" r:id="rId177" display="https://www.tiktok.com/@zaki.aluminiumpro/video/7475865625563237638"/>
    <hyperlink ref="A179" r:id="rId178" display="https://www.tiktok.com/@aluteams/video/7289293447758990597"/>
    <hyperlink ref="A180" r:id="rId179" display="https://www.tiktok.com/@nestartaluminium/video/7687067055283064085"/>
    <hyperlink ref="A181" r:id="rId180" display="https://www.tiktok.com/@mqg_home/video/7681783160736058641"/>
    <hyperlink ref="A182" r:id="rId181" display="https://www.tiktok.com/@alu.mamoune/video/7417375661817384197"/>
    <hyperlink ref="A183" r:id="rId182" display="https://www.tiktok.com/@wajihat.almohtarif/video/7548874883095072018"/>
    <hyperlink ref="A184" r:id="rId183" display="https://www.tiktok.com/@willy_alu_pvc/video/7697017538290502933"/>
    <hyperlink ref="A185" r:id="rId184" display="https://www.tiktok.com/@shahzadpunjabiwala/video/7686550433212484886"/>
    <hyperlink ref="A186" r:id="rId185" display="https://www.tiktok.com/@aluminiumomar/video/7624303019403906322"/>
    <hyperlink ref="A187" r:id="rId186" display="https://www.tiktok.com/@68designcreation/video/7668331731124112673"/>
    <hyperlink ref="A188" r:id="rId187" display="https://www.tiktok.com/@alaaeddinn.23/video/7576385783444032776"/>
    <hyperlink ref="A189" r:id="rId188" display="https://www.tiktok.com/@isidore652/video/7552407238149754168"/>
    <hyperlink ref="A190" r:id="rId189" display="https://www.tiktok.com/@amovdesign/video/7220564109194988806"/>
    <hyperlink ref="A191" r:id="rId190" display="https://www.tiktok.com/@profilagedusud/video/7351856178634247430"/>
    <hyperlink ref="A192" r:id="rId191" display="https://www.tiktok.com/@builditplusklerksdorp/video/7693530049764445458"/>
    <hyperlink ref="A193" r:id="rId192" display="https://www.tiktok.com/@cuisinealuminium/video/7308858647835135237"/>
    <hyperlink ref="A194" r:id="rId193" display="https://www.tiktok.com/@alumecharef/video/7586345141510622484"/>
    <hyperlink ref="A195" r:id="rId194" display="https://www.tiktok.com/@gil.sard.alu/video/7656147293476752672"/>
    <hyperlink ref="A196" r:id="rId195" display="https://www.tiktok.com/@zayna.immo/video/7691384991623679253"/>
    <hyperlink ref="A197" r:id="rId196" display="https://www.tiktok.com/@expertalupro/video/7679731501390384416"/>
    <hyperlink ref="A198" r:id="rId197" display="https://www.tiktok.com/@jobabat1/video/7156335498909207813"/>
    <hyperlink ref="A199" r:id="rId198" display="https://www.tiktok.com/@jobabat1/video/7627449245980855573"/>
    <hyperlink ref="A200" r:id="rId199" display="https://www.tiktok.com/@aluminum.factory.nan/video/7690514464256445704"/>
    <hyperlink ref="A201" r:id="rId200" display="https://www.tiktok.com/@abrarlum/video/7646321766092082440"/>
    <hyperlink ref="A202" r:id="rId201" display="https://www.tiktok.com/@deutschconfortt/video/7624502186235645202"/>
    <hyperlink ref="A203" r:id="rId202" display="https://www.tiktok.com/@markglassoffciel/video/7610462267515145492"/>
    <hyperlink ref="A204" r:id="rId203" display="https://www.tiktok.com/@kapcarbreuillevert/video/7611564341963410710"/>
    <hyperlink ref="A205" r:id="rId204" display="https://www.tiktok.com/@aluminum.factory.nan/video/7654517073837559048"/>
    <hyperlink ref="A206" r:id="rId205" display="https://www.tiktok.com/@willy_alu_pvc/video/7698015102208838932"/>
    <hyperlink ref="A207" r:id="rId206" display="https://www.tiktok.com/@pukapergola/video/7698350355104517384"/>
    <hyperlink ref="A208" r:id="rId207" display="https://www.tiktok.com/@maghreb_design/video/7626472323058552085"/>
    <hyperlink ref="A209" r:id="rId208" display="https://www.tiktok.com/@pukapergola/video/7697967772122352914"/>
    <hyperlink ref="A210" r:id="rId209" display="https://www.tiktok.com/@benhmed33/video/7627960083795873045"/>
    <hyperlink ref="A211" r:id="rId210" display="https://www.tiktok.com/@glass_systems/video/7363552157229993249"/>
    <hyperlink ref="A212" r:id="rId211" display="https://www.tiktok.com/@mlaluminium/video/7591417803630972181"/>
    <hyperlink ref="A213" r:id="rId212" display="https://www.tiktok.com/@azdinloum00/video/7590482841050385685"/>
    <hyperlink ref="A214" r:id="rId213" display="https://www.tiktok.com/@allumix.abarkan/video/7648971341076483336"/>
    <hyperlink ref="A215" r:id="rId214" display="https://www.tiktok.com/@mohsineelmouadine/video/7696596812169432327"/>
    <hyperlink ref="A216" r:id="rId215" display="https://www.tiktok.com/@mohamedamraoui481/video/7698791155282103604"/>
    <hyperlink ref="A217" r:id="rId216" display="https://www.tiktok.com/@alugabon/video/7600719856312257809"/>
    <hyperlink ref="A218" r:id="rId217" display="https://www.tiktok.com/@marvel.kigali.gorin/video/7687232188114390280"/>
    <hyperlink ref="A219" r:id="rId218" display="https://www.tiktok.com/@aluminium.safii/video/7697962171405307154"/>
    <hyperlink ref="A220" r:id="rId219" display="https://www.tiktok.com/@sahara.intelligence/video/7449839690498297120"/>
    <hyperlink ref="A221" r:id="rId220" display="https://www.tiktok.com/@kajobaashraf/video/7698475710784015636"/>
    <hyperlink ref="A222" r:id="rId221" display="https://www.tiktok.com/@designodoorslimited/video/7679527151703461152"/>
    <hyperlink ref="A223" r:id="rId222" display="https://www.tiktok.com/@aluminium.style/video/7666501459814501639"/>
    <hyperlink ref="A224" r:id="rId223" display="https://www.tiktok.com/@rm_accessoires1/video/7613524695069003028"/>
    <hyperlink ref="A225" r:id="rId224" display="https://www.tiktok.com/@estudiolfarq/video/7582289176230432020"/>
    <hyperlink ref="A226" r:id="rId225" display="https://www.tiktok.com/@lamenagere.paris/video/7659831064415735073"/>
    <hyperlink ref="A227" r:id="rId226" display="https://www.tiktok.com/@changyuanalu/video/7198069285124672769"/>
    <hyperlink ref="A228" r:id="rId227" display="https://www.tiktok.com/@khaledhadjkali/video/7575947445595639058"/>
    <hyperlink ref="A229" r:id="rId228" display="https://www.tiktok.com/@aydiscount/video/7647225695323737347"/>
    <hyperlink ref="A230" r:id="rId229" display="https://www.tiktok.com/@aluminum.profile0/video/7580610861778291976"/>
    <hyperlink ref="A231" r:id="rId230" display="https://www.tiktok.com/@nassimtaamourt/video/7697690722576747828"/>
    <hyperlink ref="A232" r:id="rId231" display="https://www.tiktok.com/@zaki.aluminiumpro/video/7474376416902008069"/>
    <hyperlink ref="A233" r:id="rId232" display="https://www.tiktok.com/@atouleee.national/video/7508765260036279574"/>
    <hyperlink ref="A234" r:id="rId233" display="https://www.tiktok.com/@sidali90k/video/7653861823326031124"/>
    <hyperlink ref="A235" r:id="rId234" display="https://www.tiktok.com/@mirrorsdesign/video/7554371290291866887"/>
    <hyperlink ref="A236" r:id="rId235" display="https://www.tiktok.com/@joubijalusystem/video/7653596542900636960"/>
    <hyperlink ref="A237" r:id="rId236" display="https://www.tiktok.com/@menuiserielembour/video/7042302615966813446"/>
    <hyperlink ref="A238" r:id="rId237" display="https://www.tiktok.com/@aluminooo/video/7606474003909250325"/>
    <hyperlink ref="A239" r:id="rId238" display="https://www.tiktok.com/@zaki.aluminiumpro/video/7689989589875969332"/>
    <hyperlink ref="A240" r:id="rId239" display="https://www.tiktok.com/@alocuisines/video/7237812478875421957"/>
    <hyperlink ref="A241" r:id="rId240" display="https://www.tiktok.com/@snay3i_bdarija/video/7297664548385918213"/>
    <hyperlink ref="A242" r:id="rId241" display="https://www.tiktok.com/@ideal_aluminium_senegal1/video/7637541022217686292"/>
    <hyperlink ref="A243" r:id="rId242" display="https://www.tiktok.com/@novabuildinga/video/7198829318548622597"/>
    <hyperlink ref="A244" r:id="rId243" display="https://www.tiktok.com/@penealuminiumtrading/video/7695792782836813076"/>
    <hyperlink ref="A245" r:id="rId244" display="https://www.tiktok.com/@arabianart1/video/7551886369250020626"/>
    <hyperlink ref="A246" r:id="rId245" display="https://www.tiktok.com/@atelier_el_jami/video/7639876984771841288"/>
    <hyperlink ref="A247" r:id="rId246" display="https://www.tiktok.com/@vfjconstruction/video/7589974535428967692"/>
    <hyperlink ref="A248" r:id="rId247" display="https://www.tiktok.com/@glass_systems/video/7631175754889579779"/>
    <hyperlink ref="A249" r:id="rId248" display="https://www.tiktok.com/@abderrahim0666177187/video/7666128691373739285"/>
    <hyperlink ref="A250" r:id="rId249" display="https://www.tiktok.com/@aljannat_interiors/video/7595120715603463444"/>
    <hyperlink ref="A251" r:id="rId250" display="https://www.tiktok.com/@jaouadmachachi/video/6987434011199065350"/>
    <hyperlink ref="A252" r:id="rId251" display="https://www.tiktok.com/@aluminium.design.top/video/7569007421671214347"/>
    <hyperlink ref="A253" r:id="rId252" display="https://www.tiktok.com/@philipeyeo/video/7370670716632517920"/>
    <hyperlink ref="A254" r:id="rId253" display="https://www.tiktok.com/@groupmaisondelux/video/7236135005322333446"/>
    <hyperlink ref="A255" r:id="rId254" display="https://www.tiktok.com/@design_elb_alu/video/7099025832982662405"/>
    <hyperlink ref="A256" r:id="rId255" display="https://www.tiktok.com/@mo_jabbar_/video/7537454952147422520"/>
    <hyperlink ref="A257" r:id="rId256" display="https://www.tiktok.com/@successmanagementafrica/video/7643370699502963989"/>
    <hyperlink ref="A258" r:id="rId257" display="https://www.tiktok.com/@aluminooo/video/7614644169205648660"/>
    <hyperlink ref="A259" r:id="rId258" display="https://www.tiktok.com/@aluminiumomar/video/7102142757665262854"/>
    <hyperlink ref="A260" r:id="rId259" display="https://www.tiktok.com/@rais48alum/video/7573428757013302548"/>
    <hyperlink ref="A261" r:id="rId260" display="https://www.tiktok.com/@aluminooo/video/7696671295659969800"/>
    <hyperlink ref="A262" r:id="rId261" display="https://www.tiktok.com/@abridalalu/video/7243177486165527813"/>
    <hyperlink ref="A263" r:id="rId262" display="https://www.tiktok.com/@rais48alum/video/7570812215645719828"/>
    <hyperlink ref="A264" r:id="rId263" display="https://www.tiktok.com/@fabrimartug/video/7610283138920533265"/>
    <hyperlink ref="A265" r:id="rId264" display="https://www.tiktok.com/@markglassoffciel/video/7696653918490742036"/>
    <hyperlink ref="A266" r:id="rId265" display="https://www.tiktok.com/@benmoussa.alu/video/7670243397512482055"/>
    <hyperlink ref="A267" r:id="rId266" display="https://www.tiktok.com/@workandprayalu_/video/7698853143253175558"/>
    <hyperlink ref="A268" r:id="rId267" display="https://www.tiktok.com/@kajobaashraf/video/7698334176356879636"/>
    <hyperlink ref="A269" r:id="rId268" display="https://www.tiktok.com/@markglassoffciel/video/7696844197629889813"/>
    <hyperlink ref="A270" r:id="rId269" display="https://www.tiktok.com/@markglassoffciel/video/7696091261941320980"/>
    <hyperlink ref="A271" r:id="rId270" display="https://www.tiktok.com/@balustradealu/video/7668620563627183393"/>
    <hyperlink ref="A272" r:id="rId271" display="https://www.tiktok.com/@eradtravaux/video/7461977506778795270"/>
    <hyperlink ref="A273" r:id="rId272" display="https://www.tiktok.com/@kawner1/video/7638412419731180820"/>
    <hyperlink ref="A274" r:id="rId273" display="https://www.tiktok.com/@zaki.aluminiumpro/video/7497776869987634438"/>
    <hyperlink ref="A275" r:id="rId274" display="https://www.tiktok.com/@med.alu/video/7609401279755898133"/>
    <hyperlink ref="A276" r:id="rId275" display="https://www.tiktok.com/@latelierduverre/video/7641676199206358293"/>
    <hyperlink ref="A277" r:id="rId276" display="https://www.tiktok.com/@m.r.aluminium/video/7667919939243625760"/>
    <hyperlink ref="A278" r:id="rId277" display="https://www.tiktok.com/@agentiamo.fenetres/video/7664200641706872096"/>
    <hyperlink ref="A279" r:id="rId278" display="https://www.tiktok.com/@lkhadrawiii/video/7696197972534545682"/>
    <hyperlink ref="A280" r:id="rId279" display="https://www.tiktok.com/@kajobaashraf/video/7698976671206100245"/>
    <hyperlink ref="A281" r:id="rId280" display="https://www.tiktok.com/@markglassoffciel/video/7698142277788503317"/>
    <hyperlink ref="A282" r:id="rId281" display="https://www.tiktok.com/@miroiteriepaca/video/7269354445786434849"/>
    <hyperlink ref="A283" r:id="rId282" display="https://www.tiktok.com/@alfred_6254/video/7696220771433155862"/>
    <hyperlink ref="A284" r:id="rId283" display="https://www.tiktok.com/@agentiamo.fenetres/video/7659428431091731744"/>
    <hyperlink ref="A285" r:id="rId284" display="https://www.tiktok.com/@c3s.soprim.sau/video/7646499643680886034"/>
    <hyperlink ref="A286" r:id="rId285" display="https://www.tiktok.com/@marlumelt/video/7615384918843002132"/>
    <hyperlink ref="A287" r:id="rId286" display="https://www.tiktok.com/@zaki.aluminiumpro/video/7473204393622490423"/>
    <hyperlink ref="A288" r:id="rId287" display="https://www.tiktok.com/@soreba68/video/7621271224563354902"/>
    <hyperlink ref="A289" r:id="rId288" display="https://www.tiktok.com/@arqfree.constructora/video/7597473891086322965"/>
    <hyperlink ref="A290" r:id="rId289" display="https://www.tiktok.com/@najat.dou/video/7667188152544546056"/>
    <hyperlink ref="A291" r:id="rId290" display="https://www.tiktok.com/@ora.glass.and.alu/video/7625508559731657991"/>
    <hyperlink ref="A292" r:id="rId291" display="https://www.tiktok.com/@groupmaisondelux/video/7244276126569286917"/>
    <hyperlink ref="A293" r:id="rId292" display="https://www.tiktok.com/@alugabon/video/7549276688790654214"/>
    <hyperlink ref="A294" r:id="rId293" display="https://www.tiktok.com/@elazri.service1/video/7615375482791398663"/>
    <hyperlink ref="A295" r:id="rId294" display="https://www.tiktok.com/@golden.hand.aluminium/video/7606095799399058708"/>
    <hyperlink ref="A296" r:id="rId295" display="https://www.tiktok.com/@tm_aluminium/video/7666909588154928405"/>
    <hyperlink ref="A297" r:id="rId296" display="https://www.tiktok.com/@greenbaie.porte.f/video/7252711317927234842"/>
    <hyperlink ref="A298" r:id="rId297" display="https://www.tiktok.com/@zaki.aluminiumpro/video/7495852845179161861"/>
    <hyperlink ref="A299" r:id="rId298" display="https://www.tiktok.com/@balustradealu/video/7696917555516067105"/>
    <hyperlink ref="A300" r:id="rId299" display="https://www.tiktok.com/@kamelkamel1597/video/7361491865608277281"/>
    <hyperlink ref="A301" r:id="rId300" display="https://www.tiktok.com/@aluminiumziyou/video/7697031365933665556"/>
    <hyperlink ref="A302" r:id="rId301" display="https://www.tiktok.com/@aluminum_profile_factory/video/7675650420643056927"/>
    <hyperlink ref="A303" r:id="rId302" display="https://www.tiktok.com/@hamdja_solution/video/7566307579417070904"/>
    <hyperlink ref="A304" r:id="rId303" display="https://www.tiktok.com/@willy_alu_pvc/video/7698129509475798273"/>
    <hyperlink ref="A305" r:id="rId304" display="https://www.tiktok.com/@profilagedusud/video/7198224650499935494"/>
    <hyperlink ref="A306" r:id="rId305" display="https://www.tiktok.com/@zaki.aluminiumpro/video/7493644905701477638"/>
    <hyperlink ref="A307" r:id="rId306" display="https://www.tiktok.com/@rais48alum/video/7483212947876056326"/>
    <hyperlink ref="A308" r:id="rId307" display="https://www.tiktok.com/@jimao_aluminum/video/7629923182157303070"/>
    <hyperlink ref="A309" r:id="rId308" display="https://www.tiktok.com/@aluminium.prod/video/7534411830643494166"/>
    <hyperlink ref="A310" r:id="rId309" display="https://www.tiktok.com/@talaiy292aluminium/video/7698101226092662024"/>
    <hyperlink ref="A311" r:id="rId310" display="https://www.tiktok.com/@vitraf.alu85/video/7635388344087727382"/>
    <hyperlink ref="A312" r:id="rId311" display="https://www.tiktok.com/@zins.aluminium/video/7582297757529033995"/>
    <hyperlink ref="A313" r:id="rId312" display="https://www.tiktok.com/@dalakitmaroc/video/7668382998982577426"/>
    <hyperlink ref="A314" r:id="rId313" display="https://www.tiktok.com/@workandprayalu_/video/7696255606482586901"/>
    <hyperlink ref="A315" r:id="rId314" display="https://www.tiktok.com/@markglassoffciel/video/7696952034934672646"/>
    <hyperlink ref="A316" r:id="rId315" display="https://www.tiktok.com/@aluminumwindows_/video/7697022029513477397"/>
    <hyperlink ref="A317" r:id="rId316" display="https://www.tiktok.com/@cassflo.renov/video/7567025379576270102"/>
    <hyperlink ref="A318" r:id="rId317" display="https://www.tiktok.com/@aluminooo/video/7628593579178626325"/>
    <hyperlink ref="A319" r:id="rId318" display="https://www.tiktok.com/@kajobaashraf/video/7698968323337538836"/>
    <hyperlink ref="A320" r:id="rId319" display="https://www.tiktok.com/@bossde20pige/video/7666761807339572512"/>
    <hyperlink ref="A321" r:id="rId320" display="https://www.tiktok.com/@jokerduchantier/video/7578620160332909831"/>
    <hyperlink ref="A322" r:id="rId321" display="https://www.tiktok.com/@hocine_boutera/video/7603447634988141842"/>
    <hyperlink ref="A323" r:id="rId322" display="https://www.tiktok.com/@skymaxmaroc.ma/video/7577801253753867527"/>
    <hyperlink ref="A324" r:id="rId323" display="https://www.tiktok.com/@aluminum.youssef8/video/7698854300214103317"/>
    <hyperlink ref="A325" r:id="rId324" display="https://www.tiktok.com/@nuhzak.alu/video/7690579514568559890"/>
    <hyperlink ref="A326" r:id="rId325" display="https://www.tiktok.com/@sarl_asart_group/video/7611704745140522261"/>
    <hyperlink ref="A327" r:id="rId326" display="https://www.tiktok.com/@aluminum.factory.nan/video/7691241820486962440"/>
    <hyperlink ref="A328" r:id="rId327" display="https://www.tiktok.com/@zemzemalu/video/7656964287990172949"/>
    <hyperlink ref="A329" r:id="rId328" display="https://www.tiktok.com/@skymaxmaroc.ma/video/7621287915640884500"/>
    <hyperlink ref="A330" r:id="rId329" display="https://www.tiktok.com/@aluminium.design/video/7374536684614208774"/>
    <hyperlink ref="A331" r:id="rId330" display="https://www.tiktok.com/@superdecoplus/video/7516231048783547653"/>
    <hyperlink ref="A332" r:id="rId331" display="https://www.tiktok.com/@willy_alu_pvc/video/7696143835910507797"/>
    <hyperlink ref="A333" r:id="rId332" display="https://www.tiktok.com/@altavitmaroc/video/7059120526685490433"/>
    <hyperlink ref="A334" r:id="rId333" display="https://www.tiktok.com/@foissacfermetures/video/7576614049094307094"/>
    <hyperlink ref="A335" r:id="rId334" display="https://www.tiktok.com/@skymaxmaroc.ma/video/7613151549237284114"/>
    <hyperlink ref="A336" r:id="rId335" display="https://www.tiktok.com/@markglassoffciel/video/7698337035614047509"/>
    <hyperlink ref="A337" r:id="rId336" display="https://www.tiktok.com/@mo7tarif_tpr_algerie/video/7698747914188819733"/>
    <hyperlink ref="A338" r:id="rId337" display="https://www.tiktok.com/@nassimtaamourt/video/7697644058310708486"/>
    <hyperlink ref="A339" r:id="rId338" display="https://www.tiktok.com/@skymaxmaroc.ma/video/7603331941487725831"/>
    <hyperlink ref="A340" r:id="rId339" display="https://www.tiktok.com/@kajobaashraf/video/7698974302858792212"/>
    <hyperlink ref="A341" r:id="rId340" display="https://www.tiktok.com/@r__i__d__o__3.0/video/7698428672142806324"/>
    <hyperlink ref="A342" r:id="rId341" display="https://www.tiktok.com/@zghaluminium_sg/video/7698655034355027218"/>
    <hyperlink ref="A343" r:id="rId342" display="https://www.tiktok.com/@intersolar57/video/7606122391126887683"/>
    <hyperlink ref="A344" r:id="rId343" display="https://www.tiktok.com/@imad10430/video/7698418359502654738"/>
    <hyperlink ref="A345" r:id="rId344" display="https://www.tiktok.com/@glanium.engineering/video/7699131060633734401"/>
    <hyperlink ref="A346" r:id="rId345" display="https://www.tiktok.com/@hicham.el.jaaouan/video/7630447461441670420"/>
    <hyperlink ref="A347" r:id="rId346" display="https://www.tiktok.com/@successmanagementafrica/video/7635646009275616532"/>
    <hyperlink ref="A348" r:id="rId347" display="https://www.tiktok.com/@couvertinealuminium/video/7624547665119841553"/>
    <hyperlink ref="A349" r:id="rId348" display="https://www.tiktok.com/@halisgroupe.offic/video/7627097652462636308"/>
    <hyperlink ref="A350" r:id="rId349" display="https://www.tiktok.com/@alugabon/video/7652452048587296017"/>
    <hyperlink ref="A351" r:id="rId350" display="https://www.tiktok.com/@design_elb_alu/video/7215238399668604166"/>
    <hyperlink ref="A352" r:id="rId351" display="https://www.tiktok.com/@kajobaashraf/video/7698468843357850901"/>
    <hyperlink ref="A353" r:id="rId352" display="https://www.tiktok.com/@archiinox/video/7656426084421897480"/>
    <hyperlink ref="A354" r:id="rId353" display="https://www.tiktok.com/@mo9tabas/video/7629822868624395541"/>
    <hyperlink ref="A355" r:id="rId354" display="https://www.tiktok.com/@ecodom_algerie/video/7646532692724649236"/>
    <hyperlink ref="A356" r:id="rId355" display="https://www.tiktok.com/@souhailkassoum/video/7699203104578735367"/>
    <hyperlink ref="A357" r:id="rId356" display="https://www.tiktok.com/@aluminium.door.ke/video/7642733170042866951"/>
    <hyperlink ref="A358" r:id="rId357" display="https://www.tiktok.com/@max_windoor/video/7679016847320042782"/>
    <hyperlink ref="A359" r:id="rId358" display="https://www.tiktok.com/@redouane_lairedj/video/7689183187926322464"/>
    <hyperlink ref="A360" r:id="rId359" display="https://www.tiktok.com/@vitraf.alu/video/7634865688972184853"/>
    <hyperlink ref="A361" r:id="rId360" display="https://www.tiktok.com/@alugabon/video/7578623714011516216"/>
    <hyperlink ref="A362" r:id="rId361" display="https://www.tiktok.com/@boujamadecofacade/video/7597448717196725522"/>
    <hyperlink ref="A363" r:id="rId362" display="https://www.tiktok.com/@skymaxmaroc.ma/video/7613532550371249415"/>
    <hyperlink ref="A364" r:id="rId363" display="https://www.tiktok.com/@skymaxmaroc.ma/video/7603864734177185042"/>
    <hyperlink ref="A365" r:id="rId364" display="https://www.tiktok.com/@alugabon/video/7620558219865312513"/>
    <hyperlink ref="A366" r:id="rId365" display="https://www.tiktok.com/@alugabon/video/7600855074989968641"/>
    <hyperlink ref="A367" r:id="rId366" display="https://www.tiktok.com/@alminium.walid/video/7697738300798373127"/>
    <hyperlink ref="A368" r:id="rId367" display="https://www.tiktok.com/@soufianeyasser455/video/7697254592366562581"/>
    <hyperlink ref="A369" r:id="rId368" display="https://www.tiktok.com/@nassimtaamourt/video/7697599925487471878"/>
    <hyperlink ref="A370" r:id="rId369" display="https://www.tiktok.com/@68designcreation/video/7648295747573517570"/>
    <hyperlink ref="A371" r:id="rId370" display="https://www.tiktok.com/@markglassoffciel/video/7697225580839800065"/>
    <hyperlink ref="A372" r:id="rId371" display="https://www.tiktok.com/@alugabon/video/7602751328804179201"/>
    <hyperlink ref="A373" r:id="rId372" display="https://www.tiktok.com/@aluminium_marrakech_by_y/video/7183479459167653126"/>
    <hyperlink ref="A374" r:id="rId373" display="https://www.tiktok.com/@alu_masterr/video/7661697675934321927"/>
    <hyperlink ref="A375" r:id="rId374" display="https://www.tiktok.com/@alugabon/video/7605571201431260417"/>
    <hyperlink ref="A376" r:id="rId375" display="https://www.tiktok.com/@nesturaarchitect.id/video/7606637672022510856"/>
    <hyperlink ref="A377" r:id="rId376" display="https://www.tiktok.com/@abderrahimrachdi3/video/7656510994885119252"/>
    <hyperlink ref="A378" r:id="rId377" display="https://www.tiktok.com/@marchal.fermeture/video/7664646387115576608"/>
    <hyperlink ref="A379" r:id="rId378" display="https://www.tiktok.com/@markglassoffciel/video/7697550939586071828"/>
    <hyperlink ref="A380" r:id="rId379" display="https://www.tiktok.com/@y.zonephone/video/7697687772584316161"/>
    <hyperlink ref="A381" r:id="rId380" display="https://www.tiktok.com/@cheikhou.aluminium/video/7663252608320048417"/>
    <hyperlink ref="A382" r:id="rId381" display="https://www.tiktok.com/@confort_aluminium_tlemc1/video/7664678221866126600"/>
    <hyperlink ref="A383" r:id="rId382" display="https://www.tiktok.com/@anasakiki/video/7696701853764947220"/>
    <hyperlink ref="A384" r:id="rId383" display="https://www.tiktok.com/@medalum31/video/7666823481836752146"/>
    <hyperlink ref="A385" r:id="rId384" display="https://www.tiktok.com/@mdoss.ff/video/7629823620826647828"/>
    <hyperlink ref="A386" r:id="rId385" display="https://www.tiktok.com/@badrealuminium/video/7697361419959799061"/>
    <hyperlink ref="A387" r:id="rId386" display="https://www.tiktok.com/@couvertinealuminium/video/7644950435534589202"/>
    <hyperlink ref="A388" r:id="rId387" display="https://www.tiktok.com/@nabil_eljarmouni/video/7610937427103911176"/>
    <hyperlink ref="A389" r:id="rId388" display="https://www.tiktok.com/@win871260/video/7628946786320796946"/>
    <hyperlink ref="A390" r:id="rId389" display="https://www.tiktok.com/@gunshut.officiel/video/7698363908406512929"/>
    <hyperlink ref="A391" r:id="rId390" display="https://www.tiktok.com/@expertalupro/video/7696426122963193120"/>
    <hyperlink ref="A392" r:id="rId391" display="https://www.tiktok.com/@superdecoplus/video/7607928165725637896"/>
    <hyperlink ref="A393" r:id="rId392" display="https://www.tiktok.com/@alumunium.turki/video/7574812412914715960"/>
    <hyperlink ref="A394" r:id="rId393" display="https://www.tiktok.com/@larbutique/video/7618773424575499528"/>
    <hyperlink ref="A395" r:id="rId394" display="https://www.tiktok.com/@faisalsabir15/video/7699135414795357448"/>
    <hyperlink ref="A396" r:id="rId395" display="https://www.tiktok.com/@bh.glace.inox/video/7696110478963117320"/>
    <hyperlink ref="A397" r:id="rId396" display="https://www.tiktok.com/@sbwgroupuk/video/7637102165873397014"/>
    <hyperlink ref="A398" r:id="rId397" display="https://www.tiktok.com/@florent61/video/7682880631667215623"/>
    <hyperlink ref="A399" r:id="rId398" display="https://www.tiktok.com/@travaux.btiment.m1/video/7695426624401018132"/>
    <hyperlink ref="A400" r:id="rId399" display="https://www.tiktok.com/@aluminum_profile_factory/video/7688657535561141534"/>
    <hyperlink ref="A401" r:id="rId400" display="https://www.tiktok.com/@yassine.essafi6/video/7697173379069234452"/>
    <hyperlink ref="A402" r:id="rId401" display="https://www.tiktok.com/@verre.hafid/video/7697682959675051284"/>
    <hyperlink ref="A403" r:id="rId402" display="https://www.tiktok.com/@aluminooo/video/7696938913612582160"/>
    <hyperlink ref="A404" r:id="rId403" display="https://www.tiktok.com/@markglassoffciel/video/7698111031024897281"/>
    <hyperlink ref="A405" r:id="rId404" display="https://www.tiktok.com/@aluminum_profile_factory/video/7690885723028868383"/>
    <hyperlink ref="A406" r:id="rId405" display="https://www.tiktok.com/@markglassoffciel/video/7696902504306543892"/>
    <hyperlink ref="A407" r:id="rId406" display="https://www.tiktok.com/@fouad.dahmani3/video/7698488476139834631"/>
    <hyperlink ref="A408" r:id="rId407" display="https://www.tiktok.com/@jlchinadoorfactory/video/7698680202737487137"/>
    <hyperlink ref="A409" r:id="rId408" display="https://www.tiktok.com/@ecodom_algerie/video/7649467867284442389"/>
    <hyperlink ref="A410" r:id="rId409" display="https://www.tiktok.com/@68designcreation/video/7653922674137107745"/>
    <hyperlink ref="A411" r:id="rId410" display="https://www.tiktok.com/@johnnyxcally/video/7698115430862376198"/>
    <hyperlink ref="A412" r:id="rId411" display="https://www.tiktok.com/@nawaltechnical/video/7698400608579095828"/>
    <hyperlink ref="A413" r:id="rId412" display="https://www.tiktok.com/@bhattialuminum0/video/7696925002590932246"/>
    <hyperlink ref="A414" r:id="rId413" display="https://www.tiktok.com/@glasshome.dz/video/7698258481421241621"/>
    <hyperlink ref="A415" r:id="rId414" display="https://www.tiktok.com/@luminaglassalsace/video/7697742253657165088"/>
    <hyperlink ref="A416" r:id="rId415" display="https://www.tiktok.com/@nkunadoors/video/7699058062736379156"/>
    <hyperlink ref="A417" r:id="rId416" display="https://www.tiktok.com/@markglassoffciel/video/7698433457751379221"/>
    <hyperlink ref="A418" r:id="rId417" display="https://www.tiktok.com/@nawaltechnical/video/7698307998703275284"/>
    <hyperlink ref="A419" r:id="rId418" display="https://www.tiktok.com/@markglassoffciel/video/7698115569169599765"/>
    <hyperlink ref="A420" r:id="rId419" display="https://www.tiktok.com/@romana.aluminium/video/7615661855729585415"/>
    <hyperlink ref="A421" r:id="rId420" display="https://www.tiktok.com/@eurostar.my/video/7698963926129855751"/>
    <hyperlink ref="A422" r:id="rId421" display="https://www.tiktok.com/@talaiy292aluminium/video/7699204684157816072"/>
    <hyperlink ref="A423" r:id="rId422" display="https://www.tiktok.com/@glanium.engineering/video/7699139703718857985"/>
    <hyperlink ref="A424" r:id="rId423" display="https://www.tiktok.com/@primalu.oran/video/7696947701891534087"/>
    <hyperlink ref="A425" r:id="rId424" display="https://www.tiktok.com/@glasshome.dz/video/7696770447614020885"/>
    <hyperlink ref="A426" r:id="rId425" display="https://www.tiktok.com/@glasshome.dz/video/7698690922501983509"/>
    <hyperlink ref="A427" r:id="rId426" display="https://www.tiktok.com/@mouniiiiib.t/video/7696600478955605255"/>
    <hyperlink ref="A428" r:id="rId427" display="https://www.tiktok.com/@bauduin.habitat/video/7697341803963387168"/>
    <hyperlink ref="A429" r:id="rId428" display="https://www.tiktok.com/@luminaglassalsace/video/7696990748524285217"/>
    <hyperlink ref="A430" r:id="rId429" display="https://www.tiktok.com/@h_haa89/video/7699252080803876114"/>
    <hyperlink ref="A431" r:id="rId430" display="https://www.tiktok.com/@user00049652/video/7699094805812366613"/>
    <hyperlink ref="A432" r:id="rId431" display="https://www.tiktok.com/@lamzoalu/video/7697741557448969492"/>
    <hyperlink ref="A433" r:id="rId432" display="https://www.tiktok.com/@aluminooo/video/7699258089265958162"/>
    <hyperlink ref="A434" r:id="rId433" display="https://www.tiktok.com/@ela.glass/video/7696645769587215636"/>
    <hyperlink ref="A435" r:id="rId434" display="https://www.tiktok.com/@quincaillerie.de.luxe/video/7699137522961845524"/>
    <hyperlink ref="A436" r:id="rId435" display="https://www.tiktok.com/@bejart54/video/7698986639619640582"/>
    <hyperlink ref="A437" r:id="rId436" display="https://www.tiktok.com/@couvertinealuminium/video/7698439214345587969"/>
    <hyperlink ref="A438" r:id="rId437" display="https://www.tiktok.com/@luminaglassalsace/video/7699078913741294880"/>
    <hyperlink ref="A439" r:id="rId438" display="https://www.tiktok.com/@avenirdelamenuiserie/video/7698799642527403296"/>
    <hyperlink ref="A440" r:id="rId439" display="https://www.tiktok.com/@babadee_aluminiummagic/video/7699180963628141845"/>
    <hyperlink ref="A441" r:id="rId440" display="https://www.tiktok.com/@markglassoffciel/video/7698694743986932998"/>
    <hyperlink ref="A442" r:id="rId441" display="https://www.tiktok.com/@ireolaganiyou/video/7698436170144861460"/>
    <hyperlink ref="A443" r:id="rId442" display="https://www.tiktok.com/@hsbwindowsdoorsltd/video/7699177648597011734"/>
    <hyperlink ref="A444" r:id="rId443" display="https://www.tiktok.com/@ireolaganiyou/video/7698435301584391444"/>
    <hyperlink ref="A445" r:id="rId444" display="https://www.tiktok.com/@mazeem8080gmail/video/7698828908778523911"/>
    <hyperlink ref="A446" r:id="rId445" display="https://www.tiktok.com/@aluminium.fire.sy/video/7698999478316977441"/>
    <hyperlink ref="A447" r:id="rId446" display="https://www.tiktok.com/@lux.seal/video/7698671329641237774"/>
    <hyperlink ref="A448" r:id="rId447" display="https://www.tiktok.com/@luminaglassalsace/video/7697277210087951649"/>
    <hyperlink ref="A449" r:id="rId448" display="https://www.tiktok.com/@sjts.gill/video/7699186750119284000"/>
    <hyperlink ref="A450" r:id="rId449" display="https://www.tiktok.com/@rsupvc.windors/video/7694594237488319751"/>
    <hyperlink ref="A451" r:id="rId450" display="https://www.tiktok.com/@victoria4abm/video/7693189497697160478"/>
    <hyperlink ref="A452" r:id="rId451" display="https://www.tiktok.com/@huajianaluminumgroup/video/7696445657657249054"/>
    <hyperlink ref="A453" r:id="rId452" display="https://www.tiktok.com/@huayingmetal/video/7699083192317283591"/>
    <hyperlink ref="A454" r:id="rId453" display="https://www.tiktok.com/@huajianaluminumprofile/video/7688294046879583502"/>
    <hyperlink ref="A455" r:id="rId454" display="https://www.tiktok.com/@huajianaluminumprofile/video/7663062805842496782"/>
    <hyperlink ref="A456" r:id="rId455" display="https://www.tiktok.com/@junhe2889/video/7698965495994731794"/>
    <hyperlink ref="A457" r:id="rId456" display="https://www.tiktok.com/@huajianaluminumprofile/video/7668623019035675917"/>
    <hyperlink ref="A458" r:id="rId457" display="https://www.tiktok.com/@backbednarczyk2655/video/7698634567216860437"/>
    <hyperlink ref="A459" r:id="rId458" display="https://www.tiktok.com/@jl.chinesealuminum/video/7698680244428983558"/>
    <hyperlink ref="A460" r:id="rId459" display="https://www.tiktok.com/@industrialaluminumprofil/video/7698253789488270623"/>
    <hyperlink ref="A461" r:id="rId460" display="https://www.tiktok.com/@huajianaluminumprofile/video/7698221242054151437"/>
    <hyperlink ref="A462" r:id="rId461" display="https://www.tiktok.com/@zoexu6/video/7698887861222837534"/>
    <hyperlink ref="A463" r:id="rId462" display="https://www.tiktok.com/@meiduoyubuildingm/video/7699130870627699986"/>
    <hyperlink ref="A464" r:id="rId463" display="https://www.tiktok.com/@industrialaluminumprofil/video/7698670023111363871"/>
    <hyperlink ref="A465" r:id="rId464" display="https://www.tiktok.com/@industrialaluminumprofil/video/7698260813865405726"/>
    <hyperlink ref="A466" r:id="rId465" display="https://www.tiktok.com/@huajianaluminumgroup/video/7697557280656461086"/>
    <hyperlink ref="A467" r:id="rId466" display="https://www.tiktok.com/@chrisvandijkoffic/video/7699222421689257234"/>
    <hyperlink ref="A468" r:id="rId467" display="https://www.tiktok.com/@aprodoor/video/7647478203400949006"/>
    <hyperlink ref="A469" r:id="rId468" display="https://www.tiktok.com/@huajianaluminumprofile/video/7698243919993195790"/>
    <hyperlink ref="A470" r:id="rId469" display="https://www.tiktok.com/@huajianaluminumprofile/video/7698249870645153037"/>
    <hyperlink ref="A471" r:id="rId470" display="https://www.tiktok.com/@chan123121/video/7699279360137923860"/>
    <hyperlink ref="A472" r:id="rId471" display="https://www.tiktok.com/@wkjdoorswindows/video/7698584019608358157"/>
    <hyperlink ref="A473" r:id="rId472" display="https://www.tiktok.com/@kehao_jensen/video/7693493104346664222"/>
    <hyperlink ref="A474" r:id="rId473" display="https://www.tiktok.com/@sohome.window_door.vicky/video/7699055890988535060"/>
    <hyperlink ref="A475" r:id="rId474" display="https://www.tiktok.com/@xinhe.aluminium/video/7699053235541183750"/>
    <hyperlink ref="A476" r:id="rId475" display="https://www.tiktok.com/@nuonuo.jiang4/video/7699073172993346834"/>
    <hyperlink ref="A477" r:id="rId476" display="https://www.tiktok.com/@aluminum.profile8/video/7689639225494457631"/>
    <hyperlink ref="A478" r:id="rId477" display="https://www.tiktok.com/@beckyniuu/video/7686293684010142989"/>
    <hyperlink ref="A479" r:id="rId478" display="https://www.tiktok.com/@jl.chinesealuminum/video/7698679947833150741"/>
    <hyperlink ref="A480" r:id="rId479" display="https://www.tiktok.com/@yooan.doorwindow/video/7698629297833020693"/>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8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B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24" hidden="false" customHeight="true" outlineLevel="0" collapsed="false">
      <c r="A1" s="1" t="s">
        <v>2452</v>
      </c>
    </row>
    <row r="3" customFormat="false" ht="15" hidden="false" customHeight="false" outlineLevel="0" collapsed="false">
      <c r="A3" s="3" t="s">
        <v>2453</v>
      </c>
      <c r="B3" s="3"/>
    </row>
    <row r="4" customFormat="false" ht="15" hidden="false" customHeight="false" outlineLevel="0" collapsed="false">
      <c r="B4" s="8" t="s">
        <v>2454</v>
      </c>
    </row>
    <row r="5" customFormat="false" ht="23.85" hidden="false" customHeight="false" outlineLevel="0" collapsed="false">
      <c r="B5" s="8" t="s">
        <v>2455</v>
      </c>
    </row>
    <row r="6" customFormat="false" ht="23.85" hidden="false" customHeight="false" outlineLevel="0" collapsed="false">
      <c r="B6" s="8" t="s">
        <v>2456</v>
      </c>
    </row>
    <row r="7" customFormat="false" ht="15" hidden="false" customHeight="false" outlineLevel="0" collapsed="false">
      <c r="B7" s="8" t="s">
        <v>2457</v>
      </c>
    </row>
    <row r="8" customFormat="false" ht="15" hidden="false" customHeight="false" outlineLevel="0" collapsed="false">
      <c r="B8" s="8" t="s">
        <v>2458</v>
      </c>
    </row>
    <row r="9" customFormat="false" ht="23.85" hidden="false" customHeight="false" outlineLevel="0" collapsed="false">
      <c r="B9" s="8" t="s">
        <v>2459</v>
      </c>
    </row>
    <row r="11" customFormat="false" ht="15" hidden="false" customHeight="false" outlineLevel="0" collapsed="false">
      <c r="A11" s="3" t="s">
        <v>2460</v>
      </c>
      <c r="B11" s="3"/>
    </row>
    <row r="12" customFormat="false" ht="15" hidden="false" customHeight="false" outlineLevel="0" collapsed="false">
      <c r="A12" s="24" t="s">
        <v>2461</v>
      </c>
      <c r="B12" s="6" t="s">
        <v>2462</v>
      </c>
    </row>
    <row r="13" customFormat="false" ht="23.85" hidden="false" customHeight="false" outlineLevel="0" collapsed="false">
      <c r="A13" s="24" t="s">
        <v>2463</v>
      </c>
      <c r="B13" s="6" t="s">
        <v>2464</v>
      </c>
    </row>
    <row r="14" customFormat="false" ht="23.85" hidden="false" customHeight="false" outlineLevel="0" collapsed="false">
      <c r="A14" s="24" t="s">
        <v>2465</v>
      </c>
      <c r="B14" s="6" t="s">
        <v>2466</v>
      </c>
    </row>
    <row r="15" customFormat="false" ht="23.85" hidden="false" customHeight="false" outlineLevel="0" collapsed="false">
      <c r="A15" s="24" t="s">
        <v>2467</v>
      </c>
      <c r="B15" s="6" t="s">
        <v>2468</v>
      </c>
    </row>
    <row r="16" customFormat="false" ht="23.85" hidden="false" customHeight="false" outlineLevel="0" collapsed="false">
      <c r="A16" s="24" t="s">
        <v>2469</v>
      </c>
      <c r="B16" s="6" t="s">
        <v>2470</v>
      </c>
    </row>
    <row r="17" customFormat="false" ht="23.85" hidden="false" customHeight="false" outlineLevel="0" collapsed="false">
      <c r="A17" s="24" t="s">
        <v>2471</v>
      </c>
      <c r="B17" s="6" t="s">
        <v>2472</v>
      </c>
    </row>
    <row r="18" customFormat="false" ht="23.85" hidden="false" customHeight="false" outlineLevel="0" collapsed="false">
      <c r="A18" s="24" t="s">
        <v>2473</v>
      </c>
      <c r="B18" s="6" t="s">
        <v>2474</v>
      </c>
    </row>
    <row r="19" customFormat="false" ht="15" hidden="false" customHeight="false" outlineLevel="0" collapsed="false">
      <c r="A19" s="24" t="s">
        <v>2475</v>
      </c>
      <c r="B19" s="6" t="s">
        <v>2476</v>
      </c>
    </row>
    <row r="20" customFormat="false" ht="23.85" hidden="false" customHeight="false" outlineLevel="0" collapsed="false">
      <c r="A20" s="24" t="s">
        <v>2477</v>
      </c>
      <c r="B20" s="6" t="s">
        <v>2478</v>
      </c>
    </row>
    <row r="21" customFormat="false" ht="23.85" hidden="false" customHeight="false" outlineLevel="0" collapsed="false">
      <c r="A21" s="24" t="s">
        <v>2479</v>
      </c>
      <c r="B21" s="6" t="s">
        <v>2480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2026-10-22T01:54:12Z</dcterms:created>
  <dc:creator>openpyxl</dc:creator>
  <dc:description/>
  <dc:language>en-US</dc:language>
  <cp:lastModifiedBy/>
  <dcterms:modified xsi:type="dcterms:W3CDTF">2026-10-22T01:54:12Z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